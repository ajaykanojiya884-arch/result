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MSC IT Internship\"/>
    </mc:Choice>
  </mc:AlternateContent>
  <xr:revisionPtr revIDLastSave="0" documentId="13_ncr:1_{56518F2E-C690-43A7-81A8-3E0150271928}" xr6:coauthVersionLast="47" xr6:coauthVersionMax="47" xr10:uidLastSave="{00000000-0000-0000-0000-000000000000}"/>
  <bookViews>
    <workbookView xWindow="-120" yWindow="-120" windowWidth="24240" windowHeight="13020" activeTab="9" xr2:uid="{00000000-000D-0000-FFFF-FFFF00000000}"/>
  </bookViews>
  <sheets>
    <sheet name="DIV_A" sheetId="2" r:id="rId1"/>
    <sheet name="DIV_B" sheetId="1" r:id="rId2"/>
    <sheet name="FAIL" sheetId="31" r:id="rId3"/>
    <sheet name="DIV_A_All" sheetId="22" r:id="rId4"/>
    <sheet name="Sheet2" sheetId="27" r:id="rId5"/>
    <sheet name="DIV_B_ALL" sheetId="24" r:id="rId6"/>
    <sheet name="72" sheetId="7" r:id="rId7"/>
    <sheet name="sp" sheetId="26" r:id="rId8"/>
    <sheet name="SP_UPDATE" sheetId="33" r:id="rId9"/>
    <sheet name="NAME A " sheetId="29" r:id="rId10"/>
    <sheet name="NAME B" sheetId="30" r:id="rId11"/>
  </sheets>
  <definedNames>
    <definedName name="_xlnm._FilterDatabase" localSheetId="0" hidden="1">DIV_A!$A$4:$BU$125</definedName>
    <definedName name="_xlnm._FilterDatabase" localSheetId="3" hidden="1">DIV_A_All!$A$4:$R$125</definedName>
    <definedName name="_xlnm._FilterDatabase" localSheetId="1" hidden="1">DIV_B!$A$4:$BU$125</definedName>
    <definedName name="_xlnm._FilterDatabase" localSheetId="5" hidden="1">DIV_B_ALL!$A$3:$R$124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3" i="22" l="1"/>
  <c r="P9" i="31"/>
  <c r="O9" i="31"/>
  <c r="BB10" i="33"/>
  <c r="AT10" i="33"/>
  <c r="AS10" i="33"/>
  <c r="AR10" i="33"/>
  <c r="AK10" i="33"/>
  <c r="AJ10" i="33"/>
  <c r="AI10" i="33"/>
  <c r="AA10" i="33"/>
  <c r="AB10" i="33" s="1"/>
  <c r="Z10" i="33"/>
  <c r="R10" i="33"/>
  <c r="S10" i="33" s="1"/>
  <c r="Q10" i="33"/>
  <c r="I10" i="33"/>
  <c r="J10" i="33" s="1"/>
  <c r="H10" i="33"/>
  <c r="BD9" i="33"/>
  <c r="BC9" i="33"/>
  <c r="BB9" i="33"/>
  <c r="AS9" i="33"/>
  <c r="AT9" i="33" s="1"/>
  <c r="AR9" i="33"/>
  <c r="AJ9" i="33"/>
  <c r="AK9" i="33" s="1"/>
  <c r="AI9" i="33"/>
  <c r="AA9" i="33"/>
  <c r="AB9" i="33" s="1"/>
  <c r="Z9" i="33"/>
  <c r="R9" i="33"/>
  <c r="S9" i="33" s="1"/>
  <c r="Q9" i="33"/>
  <c r="J9" i="33"/>
  <c r="I9" i="33"/>
  <c r="H9" i="33"/>
  <c r="BB8" i="33"/>
  <c r="AS8" i="33"/>
  <c r="AT8" i="33" s="1"/>
  <c r="AR8" i="33"/>
  <c r="AJ8" i="33"/>
  <c r="AK8" i="33" s="1"/>
  <c r="AI8" i="33"/>
  <c r="AA8" i="33"/>
  <c r="AB8" i="33" s="1"/>
  <c r="Z8" i="33"/>
  <c r="R8" i="33"/>
  <c r="S8" i="33" s="1"/>
  <c r="Q8" i="33"/>
  <c r="I8" i="33"/>
  <c r="J8" i="33" s="1"/>
  <c r="H8" i="33"/>
  <c r="BB7" i="33"/>
  <c r="AT7" i="33"/>
  <c r="AS7" i="33"/>
  <c r="AR7" i="33"/>
  <c r="AK7" i="33"/>
  <c r="AJ7" i="33"/>
  <c r="AI7" i="33"/>
  <c r="AA7" i="33"/>
  <c r="AB7" i="33" s="1"/>
  <c r="Z7" i="33"/>
  <c r="R7" i="33"/>
  <c r="S7" i="33" s="1"/>
  <c r="Q7" i="33"/>
  <c r="I7" i="33"/>
  <c r="J7" i="33" s="1"/>
  <c r="H7" i="33"/>
  <c r="BB6" i="33"/>
  <c r="AT6" i="33"/>
  <c r="AS6" i="33"/>
  <c r="AR6" i="33"/>
  <c r="AJ6" i="33"/>
  <c r="AK6" i="33" s="1"/>
  <c r="AI6" i="33"/>
  <c r="AA6" i="33"/>
  <c r="AB6" i="33" s="1"/>
  <c r="Z6" i="33"/>
  <c r="R6" i="33"/>
  <c r="S6" i="33" s="1"/>
  <c r="Q6" i="33"/>
  <c r="I6" i="33"/>
  <c r="J6" i="33" s="1"/>
  <c r="H6" i="33"/>
  <c r="BT63" i="2"/>
  <c r="BB7" i="26"/>
  <c r="BB8" i="26"/>
  <c r="BB9" i="26"/>
  <c r="BB10" i="26"/>
  <c r="BB6" i="26"/>
  <c r="AR7" i="26"/>
  <c r="AR8" i="26"/>
  <c r="AR9" i="26"/>
  <c r="AR10" i="26"/>
  <c r="AR6" i="26"/>
  <c r="AI7" i="26"/>
  <c r="AI8" i="26"/>
  <c r="AI9" i="26"/>
  <c r="AI10" i="26"/>
  <c r="AI6" i="26"/>
  <c r="Z7" i="26"/>
  <c r="Z8" i="26"/>
  <c r="Z9" i="26"/>
  <c r="Z10" i="26"/>
  <c r="Z6" i="26"/>
  <c r="Q7" i="26"/>
  <c r="Q8" i="26"/>
  <c r="Q9" i="26"/>
  <c r="Q10" i="26"/>
  <c r="Q6" i="26"/>
  <c r="H7" i="26"/>
  <c r="H8" i="26"/>
  <c r="H9" i="26"/>
  <c r="H10" i="26"/>
  <c r="H6" i="26"/>
  <c r="P27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53" i="2"/>
  <c r="BQ85" i="2"/>
  <c r="BQ94" i="2"/>
  <c r="BQ100" i="2"/>
  <c r="BQ117" i="2"/>
  <c r="AS10" i="26"/>
  <c r="AT10" i="26" s="1"/>
  <c r="AJ10" i="26"/>
  <c r="AK10" i="26" s="1"/>
  <c r="AA10" i="26"/>
  <c r="AB10" i="26" s="1"/>
  <c r="R10" i="26"/>
  <c r="S10" i="26" s="1"/>
  <c r="I10" i="26"/>
  <c r="J10" i="26" s="1"/>
  <c r="BD9" i="26"/>
  <c r="BC9" i="26"/>
  <c r="AS9" i="26"/>
  <c r="AT9" i="26" s="1"/>
  <c r="AJ9" i="26"/>
  <c r="AK9" i="26" s="1"/>
  <c r="AA9" i="26"/>
  <c r="AB9" i="26" s="1"/>
  <c r="R9" i="26"/>
  <c r="S9" i="26" s="1"/>
  <c r="I9" i="26"/>
  <c r="J9" i="26" s="1"/>
  <c r="AS8" i="26"/>
  <c r="AT8" i="26" s="1"/>
  <c r="AJ8" i="26"/>
  <c r="AK8" i="26" s="1"/>
  <c r="AA8" i="26"/>
  <c r="AB8" i="26" s="1"/>
  <c r="R8" i="26"/>
  <c r="S8" i="26" s="1"/>
  <c r="I8" i="26"/>
  <c r="J8" i="26" s="1"/>
  <c r="AS7" i="26"/>
  <c r="AT7" i="26" s="1"/>
  <c r="AJ7" i="26"/>
  <c r="AK7" i="26" s="1"/>
  <c r="AA7" i="26"/>
  <c r="AB7" i="26" s="1"/>
  <c r="R7" i="26"/>
  <c r="S7" i="26" s="1"/>
  <c r="I7" i="26"/>
  <c r="J7" i="26" s="1"/>
  <c r="AS6" i="26"/>
  <c r="AT6" i="26" s="1"/>
  <c r="AJ6" i="26"/>
  <c r="AK6" i="26" s="1"/>
  <c r="AA6" i="26"/>
  <c r="AB6" i="26" s="1"/>
  <c r="R6" i="26"/>
  <c r="S6" i="26" s="1"/>
  <c r="I6" i="26"/>
  <c r="J6" i="26" s="1"/>
  <c r="C89" i="24"/>
  <c r="H7" i="1"/>
  <c r="I7" i="1" s="1"/>
  <c r="C6" i="24" s="1"/>
  <c r="H8" i="1"/>
  <c r="I8" i="1" s="1"/>
  <c r="C7" i="24" s="1"/>
  <c r="H9" i="1"/>
  <c r="I9" i="1" s="1"/>
  <c r="C8" i="24" s="1"/>
  <c r="H10" i="1"/>
  <c r="I10" i="1" s="1"/>
  <c r="C9" i="24" s="1"/>
  <c r="H11" i="1"/>
  <c r="I11" i="1" s="1"/>
  <c r="C10" i="24" s="1"/>
  <c r="H12" i="1"/>
  <c r="I12" i="1" s="1"/>
  <c r="C11" i="24" s="1"/>
  <c r="H13" i="1"/>
  <c r="I13" i="1" s="1"/>
  <c r="C12" i="24" s="1"/>
  <c r="H14" i="1"/>
  <c r="I14" i="1" s="1"/>
  <c r="C13" i="24" s="1"/>
  <c r="H15" i="1"/>
  <c r="H16" i="1"/>
  <c r="I16" i="1" s="1"/>
  <c r="C15" i="24" s="1"/>
  <c r="H17" i="1"/>
  <c r="I17" i="1" s="1"/>
  <c r="C16" i="24" s="1"/>
  <c r="H18" i="1"/>
  <c r="I18" i="1" s="1"/>
  <c r="C17" i="24" s="1"/>
  <c r="H19" i="1"/>
  <c r="I19" i="1" s="1"/>
  <c r="C18" i="24" s="1"/>
  <c r="H20" i="1"/>
  <c r="I20" i="1" s="1"/>
  <c r="C19" i="24" s="1"/>
  <c r="H21" i="1"/>
  <c r="I21" i="1" s="1"/>
  <c r="C20" i="24" s="1"/>
  <c r="H22" i="1"/>
  <c r="I22" i="1" s="1"/>
  <c r="C21" i="24" s="1"/>
  <c r="H23" i="1"/>
  <c r="H24" i="1"/>
  <c r="H25" i="1"/>
  <c r="I25" i="1" s="1"/>
  <c r="C24" i="24" s="1"/>
  <c r="H26" i="1"/>
  <c r="I26" i="1" s="1"/>
  <c r="C25" i="24" s="1"/>
  <c r="H27" i="1"/>
  <c r="I27" i="1" s="1"/>
  <c r="C26" i="24" s="1"/>
  <c r="H28" i="1"/>
  <c r="I28" i="1" s="1"/>
  <c r="C27" i="24" s="1"/>
  <c r="H29" i="1"/>
  <c r="I29" i="1" s="1"/>
  <c r="C28" i="24" s="1"/>
  <c r="H30" i="1"/>
  <c r="I30" i="1" s="1"/>
  <c r="C29" i="24" s="1"/>
  <c r="H31" i="1"/>
  <c r="H32" i="1"/>
  <c r="I32" i="1" s="1"/>
  <c r="C31" i="24" s="1"/>
  <c r="H33" i="1"/>
  <c r="I33" i="1" s="1"/>
  <c r="C32" i="24" s="1"/>
  <c r="H34" i="1"/>
  <c r="I34" i="1" s="1"/>
  <c r="C33" i="24" s="1"/>
  <c r="H35" i="1"/>
  <c r="I35" i="1" s="1"/>
  <c r="C34" i="24" s="1"/>
  <c r="H36" i="1"/>
  <c r="I36" i="1" s="1"/>
  <c r="C35" i="24" s="1"/>
  <c r="H37" i="1"/>
  <c r="I37" i="1" s="1"/>
  <c r="C36" i="24" s="1"/>
  <c r="H38" i="1"/>
  <c r="I38" i="1" s="1"/>
  <c r="C37" i="24" s="1"/>
  <c r="H39" i="1"/>
  <c r="I39" i="1" s="1"/>
  <c r="C38" i="24" s="1"/>
  <c r="H40" i="1"/>
  <c r="I40" i="1" s="1"/>
  <c r="C39" i="24" s="1"/>
  <c r="H41" i="1"/>
  <c r="I41" i="1" s="1"/>
  <c r="C40" i="24" s="1"/>
  <c r="H42" i="1"/>
  <c r="I42" i="1" s="1"/>
  <c r="C41" i="24" s="1"/>
  <c r="H43" i="1"/>
  <c r="I43" i="1" s="1"/>
  <c r="C42" i="24" s="1"/>
  <c r="H44" i="1"/>
  <c r="I44" i="1" s="1"/>
  <c r="C43" i="24" s="1"/>
  <c r="H45" i="1"/>
  <c r="I45" i="1" s="1"/>
  <c r="C44" i="24" s="1"/>
  <c r="H46" i="1"/>
  <c r="I46" i="1" s="1"/>
  <c r="C45" i="24" s="1"/>
  <c r="H47" i="1"/>
  <c r="I47" i="1" s="1"/>
  <c r="C46" i="24" s="1"/>
  <c r="H48" i="1"/>
  <c r="I48" i="1" s="1"/>
  <c r="C47" i="24" s="1"/>
  <c r="H49" i="1"/>
  <c r="I49" i="1" s="1"/>
  <c r="C48" i="24" s="1"/>
  <c r="H50" i="1"/>
  <c r="I50" i="1" s="1"/>
  <c r="C49" i="24" s="1"/>
  <c r="H51" i="1"/>
  <c r="I51" i="1" s="1"/>
  <c r="C50" i="24" s="1"/>
  <c r="H52" i="1"/>
  <c r="I52" i="1" s="1"/>
  <c r="C51" i="24" s="1"/>
  <c r="H53" i="1"/>
  <c r="I53" i="1" s="1"/>
  <c r="C52" i="24" s="1"/>
  <c r="H54" i="1"/>
  <c r="I54" i="1" s="1"/>
  <c r="C53" i="24" s="1"/>
  <c r="H55" i="1"/>
  <c r="I55" i="1" s="1"/>
  <c r="C54" i="24" s="1"/>
  <c r="H56" i="1"/>
  <c r="I56" i="1" s="1"/>
  <c r="C55" i="24" s="1"/>
  <c r="H57" i="1"/>
  <c r="I57" i="1" s="1"/>
  <c r="C56" i="24" s="1"/>
  <c r="H58" i="1"/>
  <c r="I58" i="1" s="1"/>
  <c r="C57" i="24" s="1"/>
  <c r="H59" i="1"/>
  <c r="I59" i="1" s="1"/>
  <c r="C58" i="24" s="1"/>
  <c r="H60" i="1"/>
  <c r="I60" i="1" s="1"/>
  <c r="C59" i="24" s="1"/>
  <c r="H61" i="1"/>
  <c r="I61" i="1" s="1"/>
  <c r="C60" i="24" s="1"/>
  <c r="H62" i="1"/>
  <c r="I62" i="1" s="1"/>
  <c r="C61" i="24" s="1"/>
  <c r="H63" i="1"/>
  <c r="H64" i="1"/>
  <c r="H65" i="1"/>
  <c r="I65" i="1" s="1"/>
  <c r="C64" i="24" s="1"/>
  <c r="H66" i="1"/>
  <c r="I66" i="1" s="1"/>
  <c r="C65" i="24" s="1"/>
  <c r="H67" i="1"/>
  <c r="I67" i="1" s="1"/>
  <c r="C66" i="24" s="1"/>
  <c r="H68" i="1"/>
  <c r="I68" i="1" s="1"/>
  <c r="C67" i="24" s="1"/>
  <c r="H69" i="1"/>
  <c r="I69" i="1" s="1"/>
  <c r="C68" i="24" s="1"/>
  <c r="H70" i="1"/>
  <c r="I70" i="1" s="1"/>
  <c r="C69" i="24" s="1"/>
  <c r="H71" i="1"/>
  <c r="H72" i="1"/>
  <c r="I72" i="1" s="1"/>
  <c r="C71" i="24" s="1"/>
  <c r="H73" i="1"/>
  <c r="I73" i="1" s="1"/>
  <c r="C72" i="24" s="1"/>
  <c r="H74" i="1"/>
  <c r="I74" i="1" s="1"/>
  <c r="C73" i="24" s="1"/>
  <c r="H75" i="1"/>
  <c r="I75" i="1" s="1"/>
  <c r="C74" i="24" s="1"/>
  <c r="H76" i="1"/>
  <c r="I76" i="1" s="1"/>
  <c r="C75" i="24" s="1"/>
  <c r="H77" i="1"/>
  <c r="I77" i="1" s="1"/>
  <c r="C76" i="24" s="1"/>
  <c r="H78" i="1"/>
  <c r="I78" i="1" s="1"/>
  <c r="C77" i="24" s="1"/>
  <c r="H79" i="1"/>
  <c r="H80" i="1"/>
  <c r="I80" i="1" s="1"/>
  <c r="C79" i="24" s="1"/>
  <c r="H81" i="1"/>
  <c r="I81" i="1" s="1"/>
  <c r="C80" i="24" s="1"/>
  <c r="H82" i="1"/>
  <c r="I82" i="1" s="1"/>
  <c r="C81" i="24" s="1"/>
  <c r="H83" i="1"/>
  <c r="I83" i="1" s="1"/>
  <c r="C82" i="24" s="1"/>
  <c r="H84" i="1"/>
  <c r="I84" i="1" s="1"/>
  <c r="C83" i="24" s="1"/>
  <c r="H85" i="1"/>
  <c r="I85" i="1" s="1"/>
  <c r="C84" i="24" s="1"/>
  <c r="H86" i="1"/>
  <c r="I86" i="1" s="1"/>
  <c r="C85" i="24" s="1"/>
  <c r="H87" i="1"/>
  <c r="H88" i="1"/>
  <c r="I88" i="1" s="1"/>
  <c r="C87" i="24" s="1"/>
  <c r="H89" i="1"/>
  <c r="I89" i="1" s="1"/>
  <c r="C88" i="24" s="1"/>
  <c r="H90" i="1"/>
  <c r="I90" i="1" s="1"/>
  <c r="H91" i="1"/>
  <c r="I91" i="1" s="1"/>
  <c r="C90" i="24" s="1"/>
  <c r="H92" i="1"/>
  <c r="I92" i="1" s="1"/>
  <c r="C91" i="24" s="1"/>
  <c r="H93" i="1"/>
  <c r="I93" i="1" s="1"/>
  <c r="C92" i="24" s="1"/>
  <c r="H94" i="1"/>
  <c r="I94" i="1" s="1"/>
  <c r="C93" i="24" s="1"/>
  <c r="H95" i="1"/>
  <c r="H96" i="1"/>
  <c r="I96" i="1" s="1"/>
  <c r="C95" i="24" s="1"/>
  <c r="H97" i="1"/>
  <c r="I97" i="1" s="1"/>
  <c r="C96" i="24" s="1"/>
  <c r="H98" i="1"/>
  <c r="I98" i="1" s="1"/>
  <c r="C97" i="24" s="1"/>
  <c r="H99" i="1"/>
  <c r="I99" i="1" s="1"/>
  <c r="C98" i="24" s="1"/>
  <c r="H100" i="1"/>
  <c r="I100" i="1" s="1"/>
  <c r="C99" i="24" s="1"/>
  <c r="H101" i="1"/>
  <c r="I101" i="1" s="1"/>
  <c r="C100" i="24" s="1"/>
  <c r="H102" i="1"/>
  <c r="I102" i="1" s="1"/>
  <c r="C101" i="24" s="1"/>
  <c r="H103" i="1"/>
  <c r="I103" i="1" s="1"/>
  <c r="C102" i="24" s="1"/>
  <c r="H104" i="1"/>
  <c r="I104" i="1" s="1"/>
  <c r="C103" i="24" s="1"/>
  <c r="H105" i="1"/>
  <c r="I105" i="1" s="1"/>
  <c r="C104" i="24" s="1"/>
  <c r="H106" i="1"/>
  <c r="I106" i="1" s="1"/>
  <c r="C105" i="24" s="1"/>
  <c r="H107" i="1"/>
  <c r="I107" i="1" s="1"/>
  <c r="C106" i="24" s="1"/>
  <c r="H108" i="1"/>
  <c r="I108" i="1" s="1"/>
  <c r="C107" i="24" s="1"/>
  <c r="H109" i="1"/>
  <c r="I109" i="1" s="1"/>
  <c r="C108" i="24" s="1"/>
  <c r="H110" i="1"/>
  <c r="I110" i="1" s="1"/>
  <c r="C109" i="24" s="1"/>
  <c r="H111" i="1"/>
  <c r="I111" i="1" s="1"/>
  <c r="C110" i="24" s="1"/>
  <c r="H112" i="1"/>
  <c r="I112" i="1" s="1"/>
  <c r="C111" i="24" s="1"/>
  <c r="H113" i="1"/>
  <c r="I113" i="1" s="1"/>
  <c r="C112" i="24" s="1"/>
  <c r="H114" i="1"/>
  <c r="I114" i="1" s="1"/>
  <c r="C113" i="24" s="1"/>
  <c r="H115" i="1"/>
  <c r="I115" i="1" s="1"/>
  <c r="C114" i="24" s="1"/>
  <c r="H116" i="1"/>
  <c r="I116" i="1" s="1"/>
  <c r="C115" i="24" s="1"/>
  <c r="H117" i="1"/>
  <c r="I117" i="1" s="1"/>
  <c r="C116" i="24" s="1"/>
  <c r="H118" i="1"/>
  <c r="I118" i="1" s="1"/>
  <c r="C117" i="24" s="1"/>
  <c r="H119" i="1"/>
  <c r="I119" i="1" s="1"/>
  <c r="C118" i="24" s="1"/>
  <c r="H120" i="1"/>
  <c r="I120" i="1" s="1"/>
  <c r="C119" i="24" s="1"/>
  <c r="H121" i="1"/>
  <c r="I121" i="1" s="1"/>
  <c r="C120" i="24" s="1"/>
  <c r="H122" i="1"/>
  <c r="I122" i="1" s="1"/>
  <c r="C121" i="24" s="1"/>
  <c r="H123" i="1"/>
  <c r="I123" i="1" s="1"/>
  <c r="C122" i="24" s="1"/>
  <c r="H124" i="1"/>
  <c r="I124" i="1" s="1"/>
  <c r="C123" i="24" s="1"/>
  <c r="H125" i="1"/>
  <c r="I125" i="1" s="1"/>
  <c r="C124" i="24" s="1"/>
  <c r="I15" i="1"/>
  <c r="C14" i="24" s="1"/>
  <c r="I23" i="1"/>
  <c r="C22" i="24" s="1"/>
  <c r="I24" i="1"/>
  <c r="C23" i="24" s="1"/>
  <c r="I31" i="1"/>
  <c r="C30" i="24" s="1"/>
  <c r="I63" i="1"/>
  <c r="C62" i="24" s="1"/>
  <c r="I64" i="1"/>
  <c r="C63" i="24" s="1"/>
  <c r="I71" i="1"/>
  <c r="C70" i="24" s="1"/>
  <c r="I79" i="1"/>
  <c r="C78" i="24" s="1"/>
  <c r="I87" i="1"/>
  <c r="C86" i="24" s="1"/>
  <c r="I95" i="1"/>
  <c r="C94" i="24" s="1"/>
  <c r="H6" i="1"/>
  <c r="I6" i="1" s="1"/>
  <c r="C5" i="24" s="1"/>
  <c r="AY94" i="2"/>
  <c r="AY65" i="2"/>
  <c r="BM121" i="1"/>
  <c r="BL121" i="1"/>
  <c r="BM88" i="1"/>
  <c r="BL88" i="1"/>
  <c r="BM26" i="1"/>
  <c r="BL26" i="1"/>
  <c r="BM105" i="2"/>
  <c r="BL105" i="2"/>
  <c r="BM12" i="2"/>
  <c r="BL12" i="2"/>
  <c r="BI9" i="33" l="1"/>
  <c r="BJ9" i="33" s="1"/>
  <c r="BI6" i="33"/>
  <c r="BJ6" i="33" s="1"/>
  <c r="BK6" i="33" s="1"/>
  <c r="BI8" i="33"/>
  <c r="BJ8" i="33" s="1"/>
  <c r="BI7" i="33"/>
  <c r="BJ7" i="33" s="1"/>
  <c r="BI6" i="26"/>
  <c r="BI9" i="26"/>
  <c r="BI7" i="26"/>
  <c r="BI8" i="26"/>
  <c r="BJ8" i="26" s="1"/>
  <c r="BJ9" i="26"/>
  <c r="BJ6" i="26"/>
  <c r="BK6" i="26" s="1"/>
  <c r="BJ7" i="26"/>
  <c r="BA64" i="2"/>
  <c r="AN7" i="1"/>
  <c r="AO7" i="1" s="1"/>
  <c r="K6" i="24" s="1"/>
  <c r="AN8" i="1"/>
  <c r="AO8" i="1" s="1"/>
  <c r="K7" i="24" s="1"/>
  <c r="AN9" i="1"/>
  <c r="AO9" i="1" s="1"/>
  <c r="K8" i="24" s="1"/>
  <c r="AN10" i="1"/>
  <c r="AO10" i="1" s="1"/>
  <c r="K9" i="24" s="1"/>
  <c r="AN11" i="1"/>
  <c r="AO11" i="1" s="1"/>
  <c r="K10" i="24" s="1"/>
  <c r="AN12" i="1"/>
  <c r="AO12" i="1" s="1"/>
  <c r="K11" i="24" s="1"/>
  <c r="AN13" i="1"/>
  <c r="AO13" i="1" s="1"/>
  <c r="K12" i="24" s="1"/>
  <c r="AN14" i="1"/>
  <c r="AO14" i="1" s="1"/>
  <c r="K13" i="24" s="1"/>
  <c r="AN15" i="1"/>
  <c r="AO15" i="1" s="1"/>
  <c r="K14" i="24" s="1"/>
  <c r="AN16" i="1"/>
  <c r="AO16" i="1" s="1"/>
  <c r="K15" i="24" s="1"/>
  <c r="AN17" i="1"/>
  <c r="AO17" i="1" s="1"/>
  <c r="K16" i="24" s="1"/>
  <c r="AN18" i="1"/>
  <c r="AO18" i="1" s="1"/>
  <c r="K17" i="24" s="1"/>
  <c r="AN19" i="1"/>
  <c r="AO19" i="1" s="1"/>
  <c r="K18" i="24" s="1"/>
  <c r="AN20" i="1"/>
  <c r="AO20" i="1" s="1"/>
  <c r="K19" i="24" s="1"/>
  <c r="AN21" i="1"/>
  <c r="AO21" i="1" s="1"/>
  <c r="K20" i="24" s="1"/>
  <c r="AN22" i="1"/>
  <c r="AO22" i="1" s="1"/>
  <c r="K21" i="24" s="1"/>
  <c r="AN23" i="1"/>
  <c r="AO23" i="1" s="1"/>
  <c r="K22" i="24" s="1"/>
  <c r="AN24" i="1"/>
  <c r="AO24" i="1" s="1"/>
  <c r="K23" i="24" s="1"/>
  <c r="AN25" i="1"/>
  <c r="AO25" i="1" s="1"/>
  <c r="K24" i="24" s="1"/>
  <c r="AN26" i="1"/>
  <c r="AO26" i="1" s="1"/>
  <c r="K25" i="24" s="1"/>
  <c r="AN27" i="1"/>
  <c r="AO27" i="1" s="1"/>
  <c r="K26" i="24" s="1"/>
  <c r="AN28" i="1"/>
  <c r="AO28" i="1" s="1"/>
  <c r="K27" i="24" s="1"/>
  <c r="AN29" i="1"/>
  <c r="AO29" i="1" s="1"/>
  <c r="K28" i="24" s="1"/>
  <c r="AN30" i="1"/>
  <c r="AO30" i="1" s="1"/>
  <c r="K29" i="24" s="1"/>
  <c r="AN31" i="1"/>
  <c r="AO31" i="1" s="1"/>
  <c r="K30" i="24" s="1"/>
  <c r="AN32" i="1"/>
  <c r="AO32" i="1" s="1"/>
  <c r="K31" i="24" s="1"/>
  <c r="AN33" i="1"/>
  <c r="AO33" i="1" s="1"/>
  <c r="K32" i="24" s="1"/>
  <c r="AN34" i="1"/>
  <c r="AO34" i="1" s="1"/>
  <c r="K33" i="24" s="1"/>
  <c r="AN35" i="1"/>
  <c r="AO35" i="1" s="1"/>
  <c r="K34" i="24" s="1"/>
  <c r="AN36" i="1"/>
  <c r="AO36" i="1" s="1"/>
  <c r="K35" i="24" s="1"/>
  <c r="AN37" i="1"/>
  <c r="AO37" i="1" s="1"/>
  <c r="K36" i="24" s="1"/>
  <c r="AN38" i="1"/>
  <c r="AO38" i="1" s="1"/>
  <c r="K37" i="24" s="1"/>
  <c r="AN39" i="1"/>
  <c r="AO39" i="1" s="1"/>
  <c r="K38" i="24" s="1"/>
  <c r="AN40" i="1"/>
  <c r="AO40" i="1" s="1"/>
  <c r="K39" i="24" s="1"/>
  <c r="AN41" i="1"/>
  <c r="AO41" i="1" s="1"/>
  <c r="K40" i="24" s="1"/>
  <c r="AN42" i="1"/>
  <c r="AO42" i="1" s="1"/>
  <c r="K41" i="24" s="1"/>
  <c r="AN43" i="1"/>
  <c r="AO43" i="1" s="1"/>
  <c r="K42" i="24" s="1"/>
  <c r="AN44" i="1"/>
  <c r="AO44" i="1" s="1"/>
  <c r="K43" i="24" s="1"/>
  <c r="AN45" i="1"/>
  <c r="AO45" i="1" s="1"/>
  <c r="K44" i="24" s="1"/>
  <c r="AN46" i="1"/>
  <c r="AO46" i="1" s="1"/>
  <c r="K45" i="24" s="1"/>
  <c r="AN47" i="1"/>
  <c r="AO47" i="1" s="1"/>
  <c r="K46" i="24" s="1"/>
  <c r="AN48" i="1"/>
  <c r="AO48" i="1" s="1"/>
  <c r="K47" i="24" s="1"/>
  <c r="AN49" i="1"/>
  <c r="AO49" i="1" s="1"/>
  <c r="K48" i="24" s="1"/>
  <c r="AN50" i="1"/>
  <c r="AO50" i="1" s="1"/>
  <c r="K49" i="24" s="1"/>
  <c r="AN51" i="1"/>
  <c r="AO51" i="1" s="1"/>
  <c r="K50" i="24" s="1"/>
  <c r="AN52" i="1"/>
  <c r="AO52" i="1" s="1"/>
  <c r="K51" i="24" s="1"/>
  <c r="AN53" i="1"/>
  <c r="AO53" i="1" s="1"/>
  <c r="K52" i="24" s="1"/>
  <c r="AN54" i="1"/>
  <c r="AO54" i="1" s="1"/>
  <c r="K53" i="24" s="1"/>
  <c r="AN55" i="1"/>
  <c r="AO55" i="1" s="1"/>
  <c r="K54" i="24" s="1"/>
  <c r="AN56" i="1"/>
  <c r="AO56" i="1" s="1"/>
  <c r="K55" i="24" s="1"/>
  <c r="AN57" i="1"/>
  <c r="AO57" i="1" s="1"/>
  <c r="K56" i="24" s="1"/>
  <c r="AN58" i="1"/>
  <c r="AO58" i="1" s="1"/>
  <c r="K57" i="24" s="1"/>
  <c r="AN59" i="1"/>
  <c r="AO59" i="1" s="1"/>
  <c r="K58" i="24" s="1"/>
  <c r="AN60" i="1"/>
  <c r="AO60" i="1" s="1"/>
  <c r="K59" i="24" s="1"/>
  <c r="AN61" i="1"/>
  <c r="AO61" i="1" s="1"/>
  <c r="K60" i="24" s="1"/>
  <c r="AN62" i="1"/>
  <c r="AO62" i="1" s="1"/>
  <c r="K61" i="24" s="1"/>
  <c r="AN63" i="1"/>
  <c r="AO63" i="1" s="1"/>
  <c r="K62" i="24" s="1"/>
  <c r="AN64" i="1"/>
  <c r="AO64" i="1" s="1"/>
  <c r="K63" i="24" s="1"/>
  <c r="AN65" i="1"/>
  <c r="AO65" i="1" s="1"/>
  <c r="K64" i="24" s="1"/>
  <c r="AN66" i="1"/>
  <c r="AO66" i="1" s="1"/>
  <c r="K65" i="24" s="1"/>
  <c r="AN67" i="1"/>
  <c r="AO67" i="1" s="1"/>
  <c r="K66" i="24" s="1"/>
  <c r="AN68" i="1"/>
  <c r="AO68" i="1" s="1"/>
  <c r="K67" i="24" s="1"/>
  <c r="AN69" i="1"/>
  <c r="AO69" i="1" s="1"/>
  <c r="K68" i="24" s="1"/>
  <c r="AN70" i="1"/>
  <c r="AO70" i="1" s="1"/>
  <c r="K69" i="24" s="1"/>
  <c r="AN71" i="1"/>
  <c r="AO71" i="1" s="1"/>
  <c r="K70" i="24" s="1"/>
  <c r="AN72" i="1"/>
  <c r="AO72" i="1" s="1"/>
  <c r="K71" i="24" s="1"/>
  <c r="AN73" i="1"/>
  <c r="AO73" i="1" s="1"/>
  <c r="K72" i="24" s="1"/>
  <c r="AN74" i="1"/>
  <c r="AO74" i="1" s="1"/>
  <c r="K73" i="24" s="1"/>
  <c r="AN75" i="1"/>
  <c r="AO75" i="1" s="1"/>
  <c r="K74" i="24" s="1"/>
  <c r="AN76" i="1"/>
  <c r="AO76" i="1" s="1"/>
  <c r="K75" i="24" s="1"/>
  <c r="AN77" i="1"/>
  <c r="AO77" i="1" s="1"/>
  <c r="K76" i="24" s="1"/>
  <c r="AN78" i="1"/>
  <c r="AO78" i="1" s="1"/>
  <c r="K77" i="24" s="1"/>
  <c r="AN79" i="1"/>
  <c r="AO79" i="1" s="1"/>
  <c r="K78" i="24" s="1"/>
  <c r="AN80" i="1"/>
  <c r="AO80" i="1" s="1"/>
  <c r="K79" i="24" s="1"/>
  <c r="AN81" i="1"/>
  <c r="AO81" i="1" s="1"/>
  <c r="K80" i="24" s="1"/>
  <c r="AN82" i="1"/>
  <c r="AO82" i="1" s="1"/>
  <c r="K81" i="24" s="1"/>
  <c r="AN83" i="1"/>
  <c r="AO83" i="1" s="1"/>
  <c r="K82" i="24" s="1"/>
  <c r="AN84" i="1"/>
  <c r="AO84" i="1" s="1"/>
  <c r="K83" i="24" s="1"/>
  <c r="AN85" i="1"/>
  <c r="AO85" i="1" s="1"/>
  <c r="K84" i="24" s="1"/>
  <c r="AN86" i="1"/>
  <c r="AO86" i="1" s="1"/>
  <c r="K85" i="24" s="1"/>
  <c r="AN87" i="1"/>
  <c r="AO87" i="1" s="1"/>
  <c r="K86" i="24" s="1"/>
  <c r="AN88" i="1"/>
  <c r="AO88" i="1" s="1"/>
  <c r="K87" i="24" s="1"/>
  <c r="AN89" i="1"/>
  <c r="AO89" i="1" s="1"/>
  <c r="K88" i="24" s="1"/>
  <c r="AN90" i="1"/>
  <c r="AO90" i="1" s="1"/>
  <c r="K89" i="24" s="1"/>
  <c r="AN91" i="1"/>
  <c r="AO91" i="1" s="1"/>
  <c r="K90" i="24" s="1"/>
  <c r="AN92" i="1"/>
  <c r="AO92" i="1" s="1"/>
  <c r="K91" i="24" s="1"/>
  <c r="AN93" i="1"/>
  <c r="AO93" i="1" s="1"/>
  <c r="K92" i="24" s="1"/>
  <c r="AN94" i="1"/>
  <c r="AO94" i="1" s="1"/>
  <c r="K93" i="24" s="1"/>
  <c r="AN95" i="1"/>
  <c r="AO95" i="1" s="1"/>
  <c r="K94" i="24" s="1"/>
  <c r="AN96" i="1"/>
  <c r="AO96" i="1" s="1"/>
  <c r="K95" i="24" s="1"/>
  <c r="AN97" i="1"/>
  <c r="AO97" i="1" s="1"/>
  <c r="K96" i="24" s="1"/>
  <c r="AN98" i="1"/>
  <c r="AO98" i="1" s="1"/>
  <c r="K97" i="24" s="1"/>
  <c r="AN99" i="1"/>
  <c r="AO99" i="1" s="1"/>
  <c r="K98" i="24" s="1"/>
  <c r="AN100" i="1"/>
  <c r="AO100" i="1" s="1"/>
  <c r="K99" i="24" s="1"/>
  <c r="AN101" i="1"/>
  <c r="AO101" i="1" s="1"/>
  <c r="K100" i="24" s="1"/>
  <c r="AN102" i="1"/>
  <c r="AO102" i="1" s="1"/>
  <c r="K101" i="24" s="1"/>
  <c r="AN103" i="1"/>
  <c r="AO103" i="1" s="1"/>
  <c r="K102" i="24" s="1"/>
  <c r="AN104" i="1"/>
  <c r="AO104" i="1" s="1"/>
  <c r="K103" i="24" s="1"/>
  <c r="AN105" i="1"/>
  <c r="AO105" i="1" s="1"/>
  <c r="K104" i="24" s="1"/>
  <c r="AN106" i="1"/>
  <c r="AO106" i="1" s="1"/>
  <c r="K105" i="24" s="1"/>
  <c r="AN107" i="1"/>
  <c r="AO107" i="1" s="1"/>
  <c r="K106" i="24" s="1"/>
  <c r="AN108" i="1"/>
  <c r="AO108" i="1" s="1"/>
  <c r="K107" i="24" s="1"/>
  <c r="AN109" i="1"/>
  <c r="AO109" i="1" s="1"/>
  <c r="K108" i="24" s="1"/>
  <c r="AN110" i="1"/>
  <c r="AO110" i="1" s="1"/>
  <c r="K109" i="24" s="1"/>
  <c r="AN111" i="1"/>
  <c r="AO111" i="1" s="1"/>
  <c r="K110" i="24" s="1"/>
  <c r="AN112" i="1"/>
  <c r="AO112" i="1" s="1"/>
  <c r="K111" i="24" s="1"/>
  <c r="AN113" i="1"/>
  <c r="AO113" i="1" s="1"/>
  <c r="K112" i="24" s="1"/>
  <c r="AN114" i="1"/>
  <c r="AO114" i="1" s="1"/>
  <c r="K113" i="24" s="1"/>
  <c r="AN115" i="1"/>
  <c r="AO115" i="1" s="1"/>
  <c r="K114" i="24" s="1"/>
  <c r="AN116" i="1"/>
  <c r="AO116" i="1" s="1"/>
  <c r="K115" i="24" s="1"/>
  <c r="AN117" i="1"/>
  <c r="AO117" i="1" s="1"/>
  <c r="K116" i="24" s="1"/>
  <c r="AN118" i="1"/>
  <c r="AO118" i="1" s="1"/>
  <c r="K117" i="24" s="1"/>
  <c r="AN119" i="1"/>
  <c r="AO119" i="1" s="1"/>
  <c r="K118" i="24" s="1"/>
  <c r="AN120" i="1"/>
  <c r="AO120" i="1" s="1"/>
  <c r="K119" i="24" s="1"/>
  <c r="AN121" i="1"/>
  <c r="AO121" i="1" s="1"/>
  <c r="K120" i="24" s="1"/>
  <c r="AN122" i="1"/>
  <c r="AO122" i="1" s="1"/>
  <c r="K121" i="24" s="1"/>
  <c r="AN123" i="1"/>
  <c r="AO123" i="1" s="1"/>
  <c r="K122" i="24" s="1"/>
  <c r="AN124" i="1"/>
  <c r="AO124" i="1" s="1"/>
  <c r="K123" i="24" s="1"/>
  <c r="AN125" i="1"/>
  <c r="AO125" i="1" s="1"/>
  <c r="K124" i="24" s="1"/>
  <c r="AN6" i="1"/>
  <c r="AO6" i="1" s="1"/>
  <c r="K5" i="24" s="1"/>
  <c r="X7" i="1"/>
  <c r="Y7" i="1" s="1"/>
  <c r="G6" i="24" s="1"/>
  <c r="X8" i="1"/>
  <c r="Y8" i="1" s="1"/>
  <c r="G7" i="24" s="1"/>
  <c r="X9" i="1"/>
  <c r="Y9" i="1" s="1"/>
  <c r="G8" i="24" s="1"/>
  <c r="X10" i="1"/>
  <c r="Y10" i="1" s="1"/>
  <c r="G9" i="24" s="1"/>
  <c r="X11" i="1"/>
  <c r="Y11" i="1" s="1"/>
  <c r="G10" i="24" s="1"/>
  <c r="X12" i="1"/>
  <c r="Y12" i="1" s="1"/>
  <c r="G11" i="24" s="1"/>
  <c r="X13" i="1"/>
  <c r="Y13" i="1" s="1"/>
  <c r="G12" i="24" s="1"/>
  <c r="X14" i="1"/>
  <c r="Y14" i="1" s="1"/>
  <c r="G13" i="24" s="1"/>
  <c r="X15" i="1"/>
  <c r="Y15" i="1" s="1"/>
  <c r="G14" i="24" s="1"/>
  <c r="X16" i="1"/>
  <c r="Y16" i="1" s="1"/>
  <c r="G15" i="24" s="1"/>
  <c r="X17" i="1"/>
  <c r="Y17" i="1" s="1"/>
  <c r="G16" i="24" s="1"/>
  <c r="X18" i="1"/>
  <c r="Y18" i="1" s="1"/>
  <c r="G17" i="24" s="1"/>
  <c r="X19" i="1"/>
  <c r="Y19" i="1" s="1"/>
  <c r="G18" i="24" s="1"/>
  <c r="X20" i="1"/>
  <c r="Y20" i="1" s="1"/>
  <c r="G19" i="24" s="1"/>
  <c r="X21" i="1"/>
  <c r="Y21" i="1" s="1"/>
  <c r="G20" i="24" s="1"/>
  <c r="X22" i="1"/>
  <c r="Y22" i="1" s="1"/>
  <c r="G21" i="24" s="1"/>
  <c r="X23" i="1"/>
  <c r="Y23" i="1" s="1"/>
  <c r="G22" i="24" s="1"/>
  <c r="X24" i="1"/>
  <c r="Y24" i="1" s="1"/>
  <c r="G23" i="24" s="1"/>
  <c r="X25" i="1"/>
  <c r="Y25" i="1" s="1"/>
  <c r="G24" i="24" s="1"/>
  <c r="X26" i="1"/>
  <c r="Y26" i="1" s="1"/>
  <c r="G25" i="24" s="1"/>
  <c r="X27" i="1"/>
  <c r="Y27" i="1" s="1"/>
  <c r="G26" i="24" s="1"/>
  <c r="X28" i="1"/>
  <c r="Y28" i="1" s="1"/>
  <c r="G27" i="24" s="1"/>
  <c r="X29" i="1"/>
  <c r="Y29" i="1" s="1"/>
  <c r="G28" i="24" s="1"/>
  <c r="X30" i="1"/>
  <c r="Y30" i="1" s="1"/>
  <c r="G29" i="24" s="1"/>
  <c r="X31" i="1"/>
  <c r="Y31" i="1" s="1"/>
  <c r="G30" i="24" s="1"/>
  <c r="X32" i="1"/>
  <c r="Y32" i="1" s="1"/>
  <c r="G31" i="24" s="1"/>
  <c r="X33" i="1"/>
  <c r="Y33" i="1" s="1"/>
  <c r="G32" i="24" s="1"/>
  <c r="X34" i="1"/>
  <c r="Y34" i="1" s="1"/>
  <c r="G33" i="24" s="1"/>
  <c r="X35" i="1"/>
  <c r="Y35" i="1" s="1"/>
  <c r="G34" i="24" s="1"/>
  <c r="X36" i="1"/>
  <c r="Y36" i="1" s="1"/>
  <c r="G35" i="24" s="1"/>
  <c r="X37" i="1"/>
  <c r="Y37" i="1" s="1"/>
  <c r="G36" i="24" s="1"/>
  <c r="X38" i="1"/>
  <c r="Y38" i="1" s="1"/>
  <c r="G37" i="24" s="1"/>
  <c r="X39" i="1"/>
  <c r="Y39" i="1" s="1"/>
  <c r="G38" i="24" s="1"/>
  <c r="X40" i="1"/>
  <c r="Y40" i="1" s="1"/>
  <c r="G39" i="24" s="1"/>
  <c r="X41" i="1"/>
  <c r="Y41" i="1" s="1"/>
  <c r="G40" i="24" s="1"/>
  <c r="X42" i="1"/>
  <c r="Y42" i="1" s="1"/>
  <c r="G41" i="24" s="1"/>
  <c r="X43" i="1"/>
  <c r="Y43" i="1" s="1"/>
  <c r="G42" i="24" s="1"/>
  <c r="X44" i="1"/>
  <c r="Y44" i="1" s="1"/>
  <c r="G43" i="24" s="1"/>
  <c r="X45" i="1"/>
  <c r="Y45" i="1" s="1"/>
  <c r="G44" i="24" s="1"/>
  <c r="X46" i="1"/>
  <c r="Y46" i="1" s="1"/>
  <c r="G45" i="24" s="1"/>
  <c r="X47" i="1"/>
  <c r="Y47" i="1" s="1"/>
  <c r="G46" i="24" s="1"/>
  <c r="X48" i="1"/>
  <c r="Y48" i="1" s="1"/>
  <c r="G47" i="24" s="1"/>
  <c r="X49" i="1"/>
  <c r="Y49" i="1" s="1"/>
  <c r="G48" i="24" s="1"/>
  <c r="X50" i="1"/>
  <c r="Y50" i="1" s="1"/>
  <c r="G49" i="24" s="1"/>
  <c r="X51" i="1"/>
  <c r="Y51" i="1" s="1"/>
  <c r="G50" i="24" s="1"/>
  <c r="X52" i="1"/>
  <c r="Y52" i="1" s="1"/>
  <c r="G51" i="24" s="1"/>
  <c r="X53" i="1"/>
  <c r="Y53" i="1" s="1"/>
  <c r="G52" i="24" s="1"/>
  <c r="X54" i="1"/>
  <c r="Y54" i="1" s="1"/>
  <c r="G53" i="24" s="1"/>
  <c r="X55" i="1"/>
  <c r="Y55" i="1" s="1"/>
  <c r="G54" i="24" s="1"/>
  <c r="X56" i="1"/>
  <c r="Y56" i="1" s="1"/>
  <c r="G55" i="24" s="1"/>
  <c r="X57" i="1"/>
  <c r="Y57" i="1" s="1"/>
  <c r="G56" i="24" s="1"/>
  <c r="X58" i="1"/>
  <c r="Y58" i="1" s="1"/>
  <c r="G57" i="24" s="1"/>
  <c r="X59" i="1"/>
  <c r="Y59" i="1" s="1"/>
  <c r="G58" i="24" s="1"/>
  <c r="X60" i="1"/>
  <c r="Y60" i="1" s="1"/>
  <c r="G59" i="24" s="1"/>
  <c r="X61" i="1"/>
  <c r="Y61" i="1" s="1"/>
  <c r="G60" i="24" s="1"/>
  <c r="X62" i="1"/>
  <c r="Y62" i="1" s="1"/>
  <c r="G61" i="24" s="1"/>
  <c r="X63" i="1"/>
  <c r="Y63" i="1" s="1"/>
  <c r="G62" i="24" s="1"/>
  <c r="X64" i="1"/>
  <c r="Y64" i="1" s="1"/>
  <c r="G63" i="24" s="1"/>
  <c r="X65" i="1"/>
  <c r="Y65" i="1" s="1"/>
  <c r="G64" i="24" s="1"/>
  <c r="X66" i="1"/>
  <c r="Y66" i="1" s="1"/>
  <c r="G65" i="24" s="1"/>
  <c r="X67" i="1"/>
  <c r="Y67" i="1" s="1"/>
  <c r="G66" i="24" s="1"/>
  <c r="X68" i="1"/>
  <c r="Y68" i="1" s="1"/>
  <c r="G67" i="24" s="1"/>
  <c r="X69" i="1"/>
  <c r="Y69" i="1" s="1"/>
  <c r="G68" i="24" s="1"/>
  <c r="X70" i="1"/>
  <c r="Y70" i="1" s="1"/>
  <c r="G69" i="24" s="1"/>
  <c r="X71" i="1"/>
  <c r="Y71" i="1" s="1"/>
  <c r="G70" i="24" s="1"/>
  <c r="X72" i="1"/>
  <c r="Y72" i="1" s="1"/>
  <c r="G71" i="24" s="1"/>
  <c r="X73" i="1"/>
  <c r="Y73" i="1" s="1"/>
  <c r="G72" i="24" s="1"/>
  <c r="X74" i="1"/>
  <c r="Y74" i="1" s="1"/>
  <c r="G73" i="24" s="1"/>
  <c r="X75" i="1"/>
  <c r="Y75" i="1" s="1"/>
  <c r="G74" i="24" s="1"/>
  <c r="X76" i="1"/>
  <c r="Y76" i="1" s="1"/>
  <c r="G75" i="24" s="1"/>
  <c r="X77" i="1"/>
  <c r="Y77" i="1" s="1"/>
  <c r="G76" i="24" s="1"/>
  <c r="X78" i="1"/>
  <c r="Y78" i="1" s="1"/>
  <c r="G77" i="24" s="1"/>
  <c r="X79" i="1"/>
  <c r="Y79" i="1" s="1"/>
  <c r="G78" i="24" s="1"/>
  <c r="X80" i="1"/>
  <c r="Y80" i="1" s="1"/>
  <c r="G79" i="24" s="1"/>
  <c r="X81" i="1"/>
  <c r="Y81" i="1" s="1"/>
  <c r="G80" i="24" s="1"/>
  <c r="X82" i="1"/>
  <c r="Y82" i="1" s="1"/>
  <c r="G81" i="24" s="1"/>
  <c r="X83" i="1"/>
  <c r="Y83" i="1" s="1"/>
  <c r="G82" i="24" s="1"/>
  <c r="X84" i="1"/>
  <c r="Y84" i="1" s="1"/>
  <c r="G83" i="24" s="1"/>
  <c r="X85" i="1"/>
  <c r="Y85" i="1" s="1"/>
  <c r="G84" i="24" s="1"/>
  <c r="X86" i="1"/>
  <c r="Y86" i="1" s="1"/>
  <c r="G85" i="24" s="1"/>
  <c r="X87" i="1"/>
  <c r="Y87" i="1" s="1"/>
  <c r="G86" i="24" s="1"/>
  <c r="X88" i="1"/>
  <c r="Y88" i="1" s="1"/>
  <c r="G87" i="24" s="1"/>
  <c r="X89" i="1"/>
  <c r="Y89" i="1" s="1"/>
  <c r="G88" i="24" s="1"/>
  <c r="X90" i="1"/>
  <c r="Y90" i="1" s="1"/>
  <c r="G89" i="24" s="1"/>
  <c r="X91" i="1"/>
  <c r="Y91" i="1" s="1"/>
  <c r="G90" i="24" s="1"/>
  <c r="X92" i="1"/>
  <c r="Y92" i="1" s="1"/>
  <c r="G91" i="24" s="1"/>
  <c r="X93" i="1"/>
  <c r="Y93" i="1" s="1"/>
  <c r="G92" i="24" s="1"/>
  <c r="X94" i="1"/>
  <c r="Y94" i="1" s="1"/>
  <c r="G93" i="24" s="1"/>
  <c r="X95" i="1"/>
  <c r="Y95" i="1" s="1"/>
  <c r="G94" i="24" s="1"/>
  <c r="X96" i="1"/>
  <c r="Y96" i="1" s="1"/>
  <c r="G95" i="24" s="1"/>
  <c r="X97" i="1"/>
  <c r="Y97" i="1" s="1"/>
  <c r="G96" i="24" s="1"/>
  <c r="X98" i="1"/>
  <c r="Y98" i="1" s="1"/>
  <c r="G97" i="24" s="1"/>
  <c r="X99" i="1"/>
  <c r="Y99" i="1" s="1"/>
  <c r="G98" i="24" s="1"/>
  <c r="X100" i="1"/>
  <c r="Y100" i="1" s="1"/>
  <c r="G99" i="24" s="1"/>
  <c r="X101" i="1"/>
  <c r="Y101" i="1" s="1"/>
  <c r="G100" i="24" s="1"/>
  <c r="X102" i="1"/>
  <c r="Y102" i="1" s="1"/>
  <c r="G101" i="24" s="1"/>
  <c r="X103" i="1"/>
  <c r="Y103" i="1" s="1"/>
  <c r="G102" i="24" s="1"/>
  <c r="X104" i="1"/>
  <c r="Y104" i="1" s="1"/>
  <c r="G103" i="24" s="1"/>
  <c r="X105" i="1"/>
  <c r="Y105" i="1" s="1"/>
  <c r="G104" i="24" s="1"/>
  <c r="X106" i="1"/>
  <c r="Y106" i="1" s="1"/>
  <c r="G105" i="24" s="1"/>
  <c r="X107" i="1"/>
  <c r="Y107" i="1" s="1"/>
  <c r="G106" i="24" s="1"/>
  <c r="X108" i="1"/>
  <c r="Y108" i="1" s="1"/>
  <c r="G107" i="24" s="1"/>
  <c r="X109" i="1"/>
  <c r="Y109" i="1" s="1"/>
  <c r="G108" i="24" s="1"/>
  <c r="X110" i="1"/>
  <c r="Y110" i="1" s="1"/>
  <c r="G109" i="24" s="1"/>
  <c r="X111" i="1"/>
  <c r="Y111" i="1" s="1"/>
  <c r="G110" i="24" s="1"/>
  <c r="X112" i="1"/>
  <c r="Y112" i="1" s="1"/>
  <c r="G111" i="24" s="1"/>
  <c r="X113" i="1"/>
  <c r="Y113" i="1" s="1"/>
  <c r="G112" i="24" s="1"/>
  <c r="X114" i="1"/>
  <c r="Y114" i="1" s="1"/>
  <c r="G113" i="24" s="1"/>
  <c r="X115" i="1"/>
  <c r="Y115" i="1" s="1"/>
  <c r="G114" i="24" s="1"/>
  <c r="X116" i="1"/>
  <c r="Y116" i="1" s="1"/>
  <c r="G115" i="24" s="1"/>
  <c r="X117" i="1"/>
  <c r="Y117" i="1" s="1"/>
  <c r="G116" i="24" s="1"/>
  <c r="X118" i="1"/>
  <c r="Y118" i="1" s="1"/>
  <c r="G117" i="24" s="1"/>
  <c r="X119" i="1"/>
  <c r="Y119" i="1" s="1"/>
  <c r="G118" i="24" s="1"/>
  <c r="X120" i="1"/>
  <c r="Y120" i="1" s="1"/>
  <c r="G119" i="24" s="1"/>
  <c r="X121" i="1"/>
  <c r="Y121" i="1" s="1"/>
  <c r="G120" i="24" s="1"/>
  <c r="X122" i="1"/>
  <c r="Y122" i="1" s="1"/>
  <c r="G121" i="24" s="1"/>
  <c r="X123" i="1"/>
  <c r="Y123" i="1" s="1"/>
  <c r="G122" i="24" s="1"/>
  <c r="X124" i="1"/>
  <c r="Y124" i="1" s="1"/>
  <c r="G123" i="24" s="1"/>
  <c r="X125" i="1"/>
  <c r="Y125" i="1" s="1"/>
  <c r="G124" i="24" s="1"/>
  <c r="X6" i="1"/>
  <c r="Y6" i="1" s="1"/>
  <c r="G5" i="24" s="1"/>
  <c r="P7" i="1"/>
  <c r="Q7" i="1" s="1"/>
  <c r="E6" i="24" s="1"/>
  <c r="P8" i="1"/>
  <c r="Q8" i="1" s="1"/>
  <c r="E7" i="24" s="1"/>
  <c r="P9" i="1"/>
  <c r="Q9" i="1" s="1"/>
  <c r="E8" i="24" s="1"/>
  <c r="P10" i="1"/>
  <c r="Q10" i="1" s="1"/>
  <c r="E9" i="24" s="1"/>
  <c r="P11" i="1"/>
  <c r="Q11" i="1" s="1"/>
  <c r="E10" i="24" s="1"/>
  <c r="P12" i="1"/>
  <c r="Q12" i="1" s="1"/>
  <c r="E11" i="24" s="1"/>
  <c r="P13" i="1"/>
  <c r="Q13" i="1" s="1"/>
  <c r="E12" i="24" s="1"/>
  <c r="P14" i="1"/>
  <c r="Q14" i="1" s="1"/>
  <c r="E13" i="24" s="1"/>
  <c r="P15" i="1"/>
  <c r="Q15" i="1" s="1"/>
  <c r="E14" i="24" s="1"/>
  <c r="P16" i="1"/>
  <c r="Q16" i="1" s="1"/>
  <c r="E15" i="24" s="1"/>
  <c r="P17" i="1"/>
  <c r="Q17" i="1" s="1"/>
  <c r="E16" i="24" s="1"/>
  <c r="P18" i="1"/>
  <c r="Q18" i="1" s="1"/>
  <c r="E17" i="24" s="1"/>
  <c r="P19" i="1"/>
  <c r="Q19" i="1" s="1"/>
  <c r="E18" i="24" s="1"/>
  <c r="P20" i="1"/>
  <c r="Q20" i="1" s="1"/>
  <c r="E19" i="24" s="1"/>
  <c r="P21" i="1"/>
  <c r="Q21" i="1" s="1"/>
  <c r="E20" i="24" s="1"/>
  <c r="P22" i="1"/>
  <c r="Q22" i="1" s="1"/>
  <c r="E21" i="24" s="1"/>
  <c r="P23" i="1"/>
  <c r="Q23" i="1" s="1"/>
  <c r="E22" i="24" s="1"/>
  <c r="P24" i="1"/>
  <c r="Q24" i="1" s="1"/>
  <c r="E23" i="24" s="1"/>
  <c r="P25" i="1"/>
  <c r="Q25" i="1" s="1"/>
  <c r="E24" i="24" s="1"/>
  <c r="P26" i="1"/>
  <c r="Q26" i="1" s="1"/>
  <c r="E25" i="24" s="1"/>
  <c r="Q27" i="1"/>
  <c r="E26" i="24" s="1"/>
  <c r="P28" i="1"/>
  <c r="Q28" i="1" s="1"/>
  <c r="E27" i="24" s="1"/>
  <c r="P29" i="1"/>
  <c r="Q29" i="1" s="1"/>
  <c r="E28" i="24" s="1"/>
  <c r="P30" i="1"/>
  <c r="Q30" i="1" s="1"/>
  <c r="E29" i="24" s="1"/>
  <c r="P31" i="1"/>
  <c r="Q31" i="1" s="1"/>
  <c r="E30" i="24" s="1"/>
  <c r="P32" i="1"/>
  <c r="Q32" i="1" s="1"/>
  <c r="E31" i="24" s="1"/>
  <c r="P33" i="1"/>
  <c r="Q33" i="1" s="1"/>
  <c r="E32" i="24" s="1"/>
  <c r="P34" i="1"/>
  <c r="Q34" i="1" s="1"/>
  <c r="E33" i="24" s="1"/>
  <c r="P35" i="1"/>
  <c r="Q35" i="1" s="1"/>
  <c r="E34" i="24" s="1"/>
  <c r="P36" i="1"/>
  <c r="Q36" i="1" s="1"/>
  <c r="E35" i="24" s="1"/>
  <c r="P37" i="1"/>
  <c r="Q37" i="1" s="1"/>
  <c r="E36" i="24" s="1"/>
  <c r="P38" i="1"/>
  <c r="Q38" i="1" s="1"/>
  <c r="E37" i="24" s="1"/>
  <c r="P39" i="1"/>
  <c r="Q39" i="1" s="1"/>
  <c r="E38" i="24" s="1"/>
  <c r="P40" i="1"/>
  <c r="Q40" i="1" s="1"/>
  <c r="E39" i="24" s="1"/>
  <c r="P41" i="1"/>
  <c r="Q41" i="1" s="1"/>
  <c r="E40" i="24" s="1"/>
  <c r="P42" i="1"/>
  <c r="Q42" i="1" s="1"/>
  <c r="E41" i="24" s="1"/>
  <c r="P43" i="1"/>
  <c r="Q43" i="1" s="1"/>
  <c r="E42" i="24" s="1"/>
  <c r="P44" i="1"/>
  <c r="Q44" i="1" s="1"/>
  <c r="E43" i="24" s="1"/>
  <c r="P45" i="1"/>
  <c r="Q45" i="1" s="1"/>
  <c r="E44" i="24" s="1"/>
  <c r="P46" i="1"/>
  <c r="Q46" i="1" s="1"/>
  <c r="E45" i="24" s="1"/>
  <c r="P47" i="1"/>
  <c r="Q47" i="1" s="1"/>
  <c r="E46" i="24" s="1"/>
  <c r="P48" i="1"/>
  <c r="Q48" i="1" s="1"/>
  <c r="E47" i="24" s="1"/>
  <c r="P49" i="1"/>
  <c r="Q49" i="1" s="1"/>
  <c r="E48" i="24" s="1"/>
  <c r="P50" i="1"/>
  <c r="Q50" i="1" s="1"/>
  <c r="E49" i="24" s="1"/>
  <c r="P51" i="1"/>
  <c r="Q51" i="1" s="1"/>
  <c r="E50" i="24" s="1"/>
  <c r="P52" i="1"/>
  <c r="Q52" i="1" s="1"/>
  <c r="E51" i="24" s="1"/>
  <c r="P53" i="1"/>
  <c r="Q53" i="1" s="1"/>
  <c r="E52" i="24" s="1"/>
  <c r="P54" i="1"/>
  <c r="Q54" i="1" s="1"/>
  <c r="E53" i="24" s="1"/>
  <c r="P55" i="1"/>
  <c r="Q55" i="1" s="1"/>
  <c r="E54" i="24" s="1"/>
  <c r="P56" i="1"/>
  <c r="Q56" i="1" s="1"/>
  <c r="E55" i="24" s="1"/>
  <c r="P57" i="1"/>
  <c r="Q57" i="1" s="1"/>
  <c r="E56" i="24" s="1"/>
  <c r="P58" i="1"/>
  <c r="Q58" i="1" s="1"/>
  <c r="E57" i="24" s="1"/>
  <c r="P59" i="1"/>
  <c r="Q59" i="1" s="1"/>
  <c r="E58" i="24" s="1"/>
  <c r="P60" i="1"/>
  <c r="Q60" i="1" s="1"/>
  <c r="E59" i="24" s="1"/>
  <c r="P61" i="1"/>
  <c r="Q61" i="1" s="1"/>
  <c r="E60" i="24" s="1"/>
  <c r="P62" i="1"/>
  <c r="Q62" i="1" s="1"/>
  <c r="E61" i="24" s="1"/>
  <c r="P63" i="1"/>
  <c r="Q63" i="1" s="1"/>
  <c r="E62" i="24" s="1"/>
  <c r="P64" i="1"/>
  <c r="Q64" i="1" s="1"/>
  <c r="E63" i="24" s="1"/>
  <c r="P65" i="1"/>
  <c r="Q65" i="1" s="1"/>
  <c r="E64" i="24" s="1"/>
  <c r="P66" i="1"/>
  <c r="Q66" i="1" s="1"/>
  <c r="E65" i="24" s="1"/>
  <c r="P67" i="1"/>
  <c r="Q67" i="1" s="1"/>
  <c r="E66" i="24" s="1"/>
  <c r="P68" i="1"/>
  <c r="Q68" i="1" s="1"/>
  <c r="E67" i="24" s="1"/>
  <c r="P69" i="1"/>
  <c r="Q69" i="1" s="1"/>
  <c r="E68" i="24" s="1"/>
  <c r="P70" i="1"/>
  <c r="Q70" i="1" s="1"/>
  <c r="E69" i="24" s="1"/>
  <c r="P71" i="1"/>
  <c r="Q71" i="1" s="1"/>
  <c r="E70" i="24" s="1"/>
  <c r="P72" i="1"/>
  <c r="Q72" i="1" s="1"/>
  <c r="E71" i="24" s="1"/>
  <c r="P73" i="1"/>
  <c r="Q73" i="1" s="1"/>
  <c r="E72" i="24" s="1"/>
  <c r="P74" i="1"/>
  <c r="Q74" i="1" s="1"/>
  <c r="E73" i="24" s="1"/>
  <c r="P75" i="1"/>
  <c r="Q75" i="1" s="1"/>
  <c r="E74" i="24" s="1"/>
  <c r="P76" i="1"/>
  <c r="Q76" i="1" s="1"/>
  <c r="E75" i="24" s="1"/>
  <c r="P77" i="1"/>
  <c r="Q77" i="1" s="1"/>
  <c r="E76" i="24" s="1"/>
  <c r="P78" i="1"/>
  <c r="Q78" i="1" s="1"/>
  <c r="E77" i="24" s="1"/>
  <c r="P79" i="1"/>
  <c r="Q79" i="1" s="1"/>
  <c r="E78" i="24" s="1"/>
  <c r="P80" i="1"/>
  <c r="Q80" i="1" s="1"/>
  <c r="E79" i="24" s="1"/>
  <c r="P81" i="1"/>
  <c r="Q81" i="1" s="1"/>
  <c r="E80" i="24" s="1"/>
  <c r="P82" i="1"/>
  <c r="Q82" i="1" s="1"/>
  <c r="E81" i="24" s="1"/>
  <c r="P83" i="1"/>
  <c r="Q83" i="1" s="1"/>
  <c r="E82" i="24" s="1"/>
  <c r="P84" i="1"/>
  <c r="Q84" i="1" s="1"/>
  <c r="E83" i="24" s="1"/>
  <c r="P85" i="1"/>
  <c r="Q85" i="1" s="1"/>
  <c r="E84" i="24" s="1"/>
  <c r="P86" i="1"/>
  <c r="Q86" i="1" s="1"/>
  <c r="E85" i="24" s="1"/>
  <c r="P87" i="1"/>
  <c r="Q87" i="1" s="1"/>
  <c r="E86" i="24" s="1"/>
  <c r="P88" i="1"/>
  <c r="Q88" i="1" s="1"/>
  <c r="E87" i="24" s="1"/>
  <c r="P89" i="1"/>
  <c r="Q89" i="1" s="1"/>
  <c r="E88" i="24" s="1"/>
  <c r="P90" i="1"/>
  <c r="Q90" i="1" s="1"/>
  <c r="E89" i="24" s="1"/>
  <c r="P91" i="1"/>
  <c r="Q91" i="1" s="1"/>
  <c r="E90" i="24" s="1"/>
  <c r="P92" i="1"/>
  <c r="Q92" i="1" s="1"/>
  <c r="E91" i="24" s="1"/>
  <c r="P93" i="1"/>
  <c r="Q93" i="1" s="1"/>
  <c r="E92" i="24" s="1"/>
  <c r="P94" i="1"/>
  <c r="Q94" i="1" s="1"/>
  <c r="E93" i="24" s="1"/>
  <c r="P95" i="1"/>
  <c r="Q95" i="1" s="1"/>
  <c r="E94" i="24" s="1"/>
  <c r="P96" i="1"/>
  <c r="Q96" i="1" s="1"/>
  <c r="E95" i="24" s="1"/>
  <c r="P97" i="1"/>
  <c r="Q97" i="1" s="1"/>
  <c r="E96" i="24" s="1"/>
  <c r="P98" i="1"/>
  <c r="Q98" i="1" s="1"/>
  <c r="E97" i="24" s="1"/>
  <c r="P99" i="1"/>
  <c r="Q99" i="1" s="1"/>
  <c r="E98" i="24" s="1"/>
  <c r="P100" i="1"/>
  <c r="Q100" i="1" s="1"/>
  <c r="E99" i="24" s="1"/>
  <c r="P101" i="1"/>
  <c r="Q101" i="1" s="1"/>
  <c r="E100" i="24" s="1"/>
  <c r="P102" i="1"/>
  <c r="Q102" i="1" s="1"/>
  <c r="E101" i="24" s="1"/>
  <c r="P103" i="1"/>
  <c r="Q103" i="1" s="1"/>
  <c r="E102" i="24" s="1"/>
  <c r="P104" i="1"/>
  <c r="Q104" i="1" s="1"/>
  <c r="E103" i="24" s="1"/>
  <c r="P105" i="1"/>
  <c r="Q105" i="1" s="1"/>
  <c r="E104" i="24" s="1"/>
  <c r="P106" i="1"/>
  <c r="Q106" i="1" s="1"/>
  <c r="E105" i="24" s="1"/>
  <c r="P107" i="1"/>
  <c r="Q107" i="1" s="1"/>
  <c r="E106" i="24" s="1"/>
  <c r="P108" i="1"/>
  <c r="Q108" i="1" s="1"/>
  <c r="E107" i="24" s="1"/>
  <c r="P109" i="1"/>
  <c r="Q109" i="1" s="1"/>
  <c r="E108" i="24" s="1"/>
  <c r="P110" i="1"/>
  <c r="Q110" i="1" s="1"/>
  <c r="E109" i="24" s="1"/>
  <c r="P111" i="1"/>
  <c r="Q111" i="1" s="1"/>
  <c r="E110" i="24" s="1"/>
  <c r="P112" i="1"/>
  <c r="Q112" i="1" s="1"/>
  <c r="E111" i="24" s="1"/>
  <c r="P113" i="1"/>
  <c r="Q113" i="1" s="1"/>
  <c r="E112" i="24" s="1"/>
  <c r="P114" i="1"/>
  <c r="Q114" i="1" s="1"/>
  <c r="E113" i="24" s="1"/>
  <c r="P115" i="1"/>
  <c r="Q115" i="1" s="1"/>
  <c r="E114" i="24" s="1"/>
  <c r="P116" i="1"/>
  <c r="Q116" i="1" s="1"/>
  <c r="E115" i="24" s="1"/>
  <c r="P117" i="1"/>
  <c r="Q117" i="1" s="1"/>
  <c r="E116" i="24" s="1"/>
  <c r="P118" i="1"/>
  <c r="Q118" i="1" s="1"/>
  <c r="E117" i="24" s="1"/>
  <c r="P119" i="1"/>
  <c r="Q119" i="1" s="1"/>
  <c r="E118" i="24" s="1"/>
  <c r="P120" i="1"/>
  <c r="Q120" i="1" s="1"/>
  <c r="E119" i="24" s="1"/>
  <c r="P121" i="1"/>
  <c r="Q121" i="1" s="1"/>
  <c r="E120" i="24" s="1"/>
  <c r="P122" i="1"/>
  <c r="Q122" i="1" s="1"/>
  <c r="E121" i="24" s="1"/>
  <c r="P123" i="1"/>
  <c r="Q123" i="1" s="1"/>
  <c r="E122" i="24" s="1"/>
  <c r="P124" i="1"/>
  <c r="Q124" i="1" s="1"/>
  <c r="E123" i="24" s="1"/>
  <c r="P125" i="1"/>
  <c r="Q125" i="1" s="1"/>
  <c r="E124" i="24" s="1"/>
  <c r="P6" i="1"/>
  <c r="Q6" i="1" s="1"/>
  <c r="E5" i="24" s="1"/>
  <c r="AN7" i="2"/>
  <c r="AO7" i="2" s="1"/>
  <c r="K7" i="22" s="1"/>
  <c r="AN8" i="2"/>
  <c r="AO8" i="2" s="1"/>
  <c r="K8" i="22" s="1"/>
  <c r="AN9" i="2"/>
  <c r="AO9" i="2" s="1"/>
  <c r="K9" i="22" s="1"/>
  <c r="AN10" i="2"/>
  <c r="AO10" i="2" s="1"/>
  <c r="K10" i="22" s="1"/>
  <c r="AN11" i="2"/>
  <c r="AO11" i="2" s="1"/>
  <c r="K11" i="22" s="1"/>
  <c r="AN12" i="2"/>
  <c r="AO12" i="2" s="1"/>
  <c r="K12" i="22" s="1"/>
  <c r="AN13" i="2"/>
  <c r="AO13" i="2" s="1"/>
  <c r="K13" i="22" s="1"/>
  <c r="AN14" i="2"/>
  <c r="AO14" i="2" s="1"/>
  <c r="K14" i="22" s="1"/>
  <c r="AN15" i="2"/>
  <c r="AO15" i="2" s="1"/>
  <c r="K15" i="22" s="1"/>
  <c r="AN16" i="2"/>
  <c r="AO16" i="2" s="1"/>
  <c r="K16" i="22" s="1"/>
  <c r="AN17" i="2"/>
  <c r="AO17" i="2" s="1"/>
  <c r="K17" i="22" s="1"/>
  <c r="AN18" i="2"/>
  <c r="AO18" i="2" s="1"/>
  <c r="K18" i="22" s="1"/>
  <c r="AN19" i="2"/>
  <c r="AO19" i="2" s="1"/>
  <c r="K19" i="22" s="1"/>
  <c r="AN20" i="2"/>
  <c r="AO20" i="2" s="1"/>
  <c r="K20" i="22" s="1"/>
  <c r="AN21" i="2"/>
  <c r="AO21" i="2" s="1"/>
  <c r="K21" i="22" s="1"/>
  <c r="AN22" i="2"/>
  <c r="AO22" i="2" s="1"/>
  <c r="K22" i="22" s="1"/>
  <c r="AN23" i="2"/>
  <c r="AO23" i="2" s="1"/>
  <c r="K23" i="22" s="1"/>
  <c r="AN24" i="2"/>
  <c r="AO24" i="2" s="1"/>
  <c r="K24" i="22" s="1"/>
  <c r="AN25" i="2"/>
  <c r="AO25" i="2" s="1"/>
  <c r="K25" i="22" s="1"/>
  <c r="AN26" i="2"/>
  <c r="AO26" i="2" s="1"/>
  <c r="K26" i="22" s="1"/>
  <c r="AN27" i="2"/>
  <c r="AO27" i="2" s="1"/>
  <c r="K27" i="22" s="1"/>
  <c r="AN28" i="2"/>
  <c r="AO28" i="2" s="1"/>
  <c r="K28" i="22" s="1"/>
  <c r="AN29" i="2"/>
  <c r="AO29" i="2" s="1"/>
  <c r="K29" i="22" s="1"/>
  <c r="AN30" i="2"/>
  <c r="AO30" i="2" s="1"/>
  <c r="K30" i="22" s="1"/>
  <c r="AN31" i="2"/>
  <c r="AO31" i="2" s="1"/>
  <c r="K31" i="22" s="1"/>
  <c r="AN32" i="2"/>
  <c r="AO32" i="2" s="1"/>
  <c r="K32" i="22" s="1"/>
  <c r="AN33" i="2"/>
  <c r="AO33" i="2" s="1"/>
  <c r="K33" i="22" s="1"/>
  <c r="AN34" i="2"/>
  <c r="AO34" i="2" s="1"/>
  <c r="K34" i="22" s="1"/>
  <c r="AN35" i="2"/>
  <c r="AO35" i="2" s="1"/>
  <c r="K35" i="22" s="1"/>
  <c r="AN36" i="2"/>
  <c r="AO36" i="2" s="1"/>
  <c r="K36" i="22" s="1"/>
  <c r="AN37" i="2"/>
  <c r="AO37" i="2" s="1"/>
  <c r="K37" i="22" s="1"/>
  <c r="AN38" i="2"/>
  <c r="AO38" i="2" s="1"/>
  <c r="K38" i="22" s="1"/>
  <c r="AN39" i="2"/>
  <c r="AO39" i="2" s="1"/>
  <c r="K39" i="22" s="1"/>
  <c r="AN40" i="2"/>
  <c r="AO40" i="2" s="1"/>
  <c r="K40" i="22" s="1"/>
  <c r="AN41" i="2"/>
  <c r="AO41" i="2" s="1"/>
  <c r="K41" i="22" s="1"/>
  <c r="AN42" i="2"/>
  <c r="AO42" i="2" s="1"/>
  <c r="K42" i="22" s="1"/>
  <c r="AN43" i="2"/>
  <c r="AO43" i="2" s="1"/>
  <c r="K43" i="22" s="1"/>
  <c r="AN44" i="2"/>
  <c r="AO44" i="2" s="1"/>
  <c r="K44" i="22" s="1"/>
  <c r="AN45" i="2"/>
  <c r="AO45" i="2" s="1"/>
  <c r="K45" i="22" s="1"/>
  <c r="AN46" i="2"/>
  <c r="AO46" i="2" s="1"/>
  <c r="K46" i="22" s="1"/>
  <c r="AN47" i="2"/>
  <c r="AO47" i="2" s="1"/>
  <c r="K47" i="22" s="1"/>
  <c r="AN48" i="2"/>
  <c r="AO48" i="2" s="1"/>
  <c r="K48" i="22" s="1"/>
  <c r="AN49" i="2"/>
  <c r="AO49" i="2" s="1"/>
  <c r="K49" i="22" s="1"/>
  <c r="AN50" i="2"/>
  <c r="AO50" i="2" s="1"/>
  <c r="K50" i="22" s="1"/>
  <c r="AN51" i="2"/>
  <c r="AO51" i="2" s="1"/>
  <c r="K51" i="22" s="1"/>
  <c r="AN52" i="2"/>
  <c r="AO52" i="2" s="1"/>
  <c r="K52" i="22" s="1"/>
  <c r="AN53" i="2"/>
  <c r="AO53" i="2" s="1"/>
  <c r="K53" i="22" s="1"/>
  <c r="AN54" i="2"/>
  <c r="AO54" i="2" s="1"/>
  <c r="K54" i="22" s="1"/>
  <c r="AN55" i="2"/>
  <c r="AO55" i="2" s="1"/>
  <c r="K55" i="22" s="1"/>
  <c r="AN56" i="2"/>
  <c r="AO56" i="2" s="1"/>
  <c r="K56" i="22" s="1"/>
  <c r="AN57" i="2"/>
  <c r="AO57" i="2" s="1"/>
  <c r="K57" i="22" s="1"/>
  <c r="AN58" i="2"/>
  <c r="AO58" i="2" s="1"/>
  <c r="K58" i="22" s="1"/>
  <c r="AN59" i="2"/>
  <c r="AO59" i="2" s="1"/>
  <c r="K59" i="22" s="1"/>
  <c r="AN60" i="2"/>
  <c r="AO60" i="2" s="1"/>
  <c r="K60" i="22" s="1"/>
  <c r="AN61" i="2"/>
  <c r="AO61" i="2" s="1"/>
  <c r="K61" i="22" s="1"/>
  <c r="AN62" i="2"/>
  <c r="AO62" i="2" s="1"/>
  <c r="K62" i="22" s="1"/>
  <c r="AN63" i="2"/>
  <c r="AO63" i="2" s="1"/>
  <c r="K63" i="22" s="1"/>
  <c r="AN64" i="2"/>
  <c r="AO64" i="2" s="1"/>
  <c r="K64" i="22" s="1"/>
  <c r="AN65" i="2"/>
  <c r="AO65" i="2" s="1"/>
  <c r="K65" i="22" s="1"/>
  <c r="AN66" i="2"/>
  <c r="AO66" i="2" s="1"/>
  <c r="K66" i="22" s="1"/>
  <c r="AN67" i="2"/>
  <c r="AO67" i="2" s="1"/>
  <c r="K67" i="22" s="1"/>
  <c r="AN68" i="2"/>
  <c r="AO68" i="2" s="1"/>
  <c r="K68" i="22" s="1"/>
  <c r="AN69" i="2"/>
  <c r="AO69" i="2" s="1"/>
  <c r="K69" i="22" s="1"/>
  <c r="AN70" i="2"/>
  <c r="AO70" i="2" s="1"/>
  <c r="K70" i="22" s="1"/>
  <c r="AN71" i="2"/>
  <c r="AO71" i="2" s="1"/>
  <c r="K71" i="22" s="1"/>
  <c r="AN72" i="2"/>
  <c r="AO72" i="2" s="1"/>
  <c r="K72" i="22" s="1"/>
  <c r="AN73" i="2"/>
  <c r="AO73" i="2" s="1"/>
  <c r="K73" i="22" s="1"/>
  <c r="AN74" i="2"/>
  <c r="AO74" i="2" s="1"/>
  <c r="K74" i="22" s="1"/>
  <c r="AN75" i="2"/>
  <c r="AO75" i="2" s="1"/>
  <c r="K75" i="22" s="1"/>
  <c r="AN76" i="2"/>
  <c r="AO76" i="2" s="1"/>
  <c r="K76" i="22" s="1"/>
  <c r="AN77" i="2"/>
  <c r="AO77" i="2" s="1"/>
  <c r="K77" i="22" s="1"/>
  <c r="AN78" i="2"/>
  <c r="AO78" i="2" s="1"/>
  <c r="K78" i="22" s="1"/>
  <c r="AN79" i="2"/>
  <c r="AO79" i="2" s="1"/>
  <c r="K79" i="22" s="1"/>
  <c r="AN80" i="2"/>
  <c r="AO80" i="2" s="1"/>
  <c r="K80" i="22" s="1"/>
  <c r="AN81" i="2"/>
  <c r="AO81" i="2" s="1"/>
  <c r="K81" i="22" s="1"/>
  <c r="AN82" i="2"/>
  <c r="AO82" i="2" s="1"/>
  <c r="K82" i="22" s="1"/>
  <c r="AN83" i="2"/>
  <c r="AO83" i="2" s="1"/>
  <c r="K83" i="22" s="1"/>
  <c r="AN84" i="2"/>
  <c r="AO84" i="2" s="1"/>
  <c r="K84" i="22" s="1"/>
  <c r="AN85" i="2"/>
  <c r="AO85" i="2" s="1"/>
  <c r="K85" i="22" s="1"/>
  <c r="AN86" i="2"/>
  <c r="AO86" i="2" s="1"/>
  <c r="K86" i="22" s="1"/>
  <c r="AN87" i="2"/>
  <c r="AO87" i="2" s="1"/>
  <c r="K87" i="22" s="1"/>
  <c r="AN88" i="2"/>
  <c r="AO88" i="2" s="1"/>
  <c r="K88" i="22" s="1"/>
  <c r="AN89" i="2"/>
  <c r="AO89" i="2" s="1"/>
  <c r="K89" i="22" s="1"/>
  <c r="AN90" i="2"/>
  <c r="AO90" i="2" s="1"/>
  <c r="K90" i="22" s="1"/>
  <c r="AN91" i="2"/>
  <c r="AO91" i="2" s="1"/>
  <c r="K91" i="22" s="1"/>
  <c r="AN92" i="2"/>
  <c r="AO92" i="2" s="1"/>
  <c r="K92" i="22" s="1"/>
  <c r="AN93" i="2"/>
  <c r="AO93" i="2" s="1"/>
  <c r="K93" i="22" s="1"/>
  <c r="AN94" i="2"/>
  <c r="AO94" i="2" s="1"/>
  <c r="K94" i="22" s="1"/>
  <c r="AN95" i="2"/>
  <c r="AO95" i="2" s="1"/>
  <c r="K95" i="22" s="1"/>
  <c r="AN96" i="2"/>
  <c r="AO96" i="2" s="1"/>
  <c r="K96" i="22" s="1"/>
  <c r="AN97" i="2"/>
  <c r="AO97" i="2" s="1"/>
  <c r="K97" i="22" s="1"/>
  <c r="AN98" i="2"/>
  <c r="AO98" i="2" s="1"/>
  <c r="K98" i="22" s="1"/>
  <c r="AN99" i="2"/>
  <c r="AO99" i="2" s="1"/>
  <c r="K99" i="22" s="1"/>
  <c r="AN100" i="2"/>
  <c r="AO100" i="2" s="1"/>
  <c r="K100" i="22" s="1"/>
  <c r="AN101" i="2"/>
  <c r="AO101" i="2" s="1"/>
  <c r="K101" i="22" s="1"/>
  <c r="AN102" i="2"/>
  <c r="AO102" i="2" s="1"/>
  <c r="K102" i="22" s="1"/>
  <c r="AN103" i="2"/>
  <c r="AO103" i="2" s="1"/>
  <c r="K103" i="22" s="1"/>
  <c r="AN104" i="2"/>
  <c r="AO104" i="2" s="1"/>
  <c r="K104" i="22" s="1"/>
  <c r="AN105" i="2"/>
  <c r="AO105" i="2" s="1"/>
  <c r="K105" i="22" s="1"/>
  <c r="AN106" i="2"/>
  <c r="AO106" i="2" s="1"/>
  <c r="K106" i="22" s="1"/>
  <c r="AN107" i="2"/>
  <c r="AO107" i="2" s="1"/>
  <c r="K107" i="22" s="1"/>
  <c r="AN108" i="2"/>
  <c r="AO108" i="2" s="1"/>
  <c r="K108" i="22" s="1"/>
  <c r="AN109" i="2"/>
  <c r="AO109" i="2" s="1"/>
  <c r="K109" i="22" s="1"/>
  <c r="AN110" i="2"/>
  <c r="AO110" i="2" s="1"/>
  <c r="K110" i="22" s="1"/>
  <c r="AN111" i="2"/>
  <c r="AO111" i="2" s="1"/>
  <c r="K111" i="22" s="1"/>
  <c r="AN112" i="2"/>
  <c r="AO112" i="2" s="1"/>
  <c r="K112" i="22" s="1"/>
  <c r="AN113" i="2"/>
  <c r="AO113" i="2" s="1"/>
  <c r="K113" i="22" s="1"/>
  <c r="AN114" i="2"/>
  <c r="AO114" i="2" s="1"/>
  <c r="K114" i="22" s="1"/>
  <c r="AN115" i="2"/>
  <c r="AO115" i="2" s="1"/>
  <c r="K115" i="22" s="1"/>
  <c r="AN116" i="2"/>
  <c r="AO116" i="2" s="1"/>
  <c r="K116" i="22" s="1"/>
  <c r="AN117" i="2"/>
  <c r="AO117" i="2" s="1"/>
  <c r="K117" i="22" s="1"/>
  <c r="AN118" i="2"/>
  <c r="AO118" i="2" s="1"/>
  <c r="K118" i="22" s="1"/>
  <c r="AN119" i="2"/>
  <c r="AO119" i="2" s="1"/>
  <c r="K119" i="22" s="1"/>
  <c r="AN120" i="2"/>
  <c r="AO120" i="2" s="1"/>
  <c r="K120" i="22" s="1"/>
  <c r="AN121" i="2"/>
  <c r="AO121" i="2" s="1"/>
  <c r="K121" i="22" s="1"/>
  <c r="AN122" i="2"/>
  <c r="AO122" i="2" s="1"/>
  <c r="K122" i="22" s="1"/>
  <c r="AN123" i="2"/>
  <c r="AO123" i="2" s="1"/>
  <c r="K123" i="22" s="1"/>
  <c r="AN124" i="2"/>
  <c r="AO124" i="2" s="1"/>
  <c r="K124" i="22" s="1"/>
  <c r="AN125" i="2"/>
  <c r="AO125" i="2" s="1"/>
  <c r="K125" i="22" s="1"/>
  <c r="AN6" i="2"/>
  <c r="AO6" i="2" s="1"/>
  <c r="K6" i="22" s="1"/>
  <c r="X7" i="2"/>
  <c r="Y7" i="2" s="1"/>
  <c r="G7" i="22" s="1"/>
  <c r="X8" i="2"/>
  <c r="Y8" i="2" s="1"/>
  <c r="G8" i="22" s="1"/>
  <c r="X9" i="2"/>
  <c r="Y9" i="2" s="1"/>
  <c r="G9" i="22" s="1"/>
  <c r="X10" i="2"/>
  <c r="Y10" i="2" s="1"/>
  <c r="G10" i="22" s="1"/>
  <c r="X11" i="2"/>
  <c r="Y11" i="2" s="1"/>
  <c r="G11" i="22" s="1"/>
  <c r="X12" i="2"/>
  <c r="Y12" i="2" s="1"/>
  <c r="G12" i="22" s="1"/>
  <c r="X13" i="2"/>
  <c r="Y13" i="2" s="1"/>
  <c r="G13" i="22" s="1"/>
  <c r="X14" i="2"/>
  <c r="Y14" i="2" s="1"/>
  <c r="G14" i="22" s="1"/>
  <c r="X15" i="2"/>
  <c r="Y15" i="2" s="1"/>
  <c r="G15" i="22" s="1"/>
  <c r="X16" i="2"/>
  <c r="Y16" i="2" s="1"/>
  <c r="G16" i="22" s="1"/>
  <c r="X17" i="2"/>
  <c r="Y17" i="2" s="1"/>
  <c r="G17" i="22" s="1"/>
  <c r="X18" i="2"/>
  <c r="Y18" i="2" s="1"/>
  <c r="G18" i="22" s="1"/>
  <c r="X19" i="2"/>
  <c r="Y19" i="2" s="1"/>
  <c r="G19" i="22" s="1"/>
  <c r="X20" i="2"/>
  <c r="Y20" i="2" s="1"/>
  <c r="G20" i="22" s="1"/>
  <c r="X21" i="2"/>
  <c r="Y21" i="2" s="1"/>
  <c r="G21" i="22" s="1"/>
  <c r="X22" i="2"/>
  <c r="Y22" i="2" s="1"/>
  <c r="G22" i="22" s="1"/>
  <c r="X23" i="2"/>
  <c r="Y23" i="2" s="1"/>
  <c r="G23" i="22" s="1"/>
  <c r="X24" i="2"/>
  <c r="Y24" i="2" s="1"/>
  <c r="G24" i="22" s="1"/>
  <c r="X25" i="2"/>
  <c r="Y25" i="2" s="1"/>
  <c r="G25" i="22" s="1"/>
  <c r="X26" i="2"/>
  <c r="Y26" i="2" s="1"/>
  <c r="G26" i="22" s="1"/>
  <c r="X27" i="2"/>
  <c r="Y27" i="2" s="1"/>
  <c r="G27" i="22" s="1"/>
  <c r="X28" i="2"/>
  <c r="Y28" i="2" s="1"/>
  <c r="G28" i="22" s="1"/>
  <c r="X29" i="2"/>
  <c r="Y29" i="2" s="1"/>
  <c r="G29" i="22" s="1"/>
  <c r="X30" i="2"/>
  <c r="Y30" i="2" s="1"/>
  <c r="G30" i="22" s="1"/>
  <c r="X31" i="2"/>
  <c r="Y31" i="2" s="1"/>
  <c r="G31" i="22" s="1"/>
  <c r="X32" i="2"/>
  <c r="Y32" i="2" s="1"/>
  <c r="G32" i="22" s="1"/>
  <c r="X33" i="2"/>
  <c r="Y33" i="2" s="1"/>
  <c r="G33" i="22" s="1"/>
  <c r="X34" i="2"/>
  <c r="Y34" i="2" s="1"/>
  <c r="G34" i="22" s="1"/>
  <c r="X35" i="2"/>
  <c r="Y35" i="2" s="1"/>
  <c r="G35" i="22" s="1"/>
  <c r="X36" i="2"/>
  <c r="Y36" i="2" s="1"/>
  <c r="G36" i="22" s="1"/>
  <c r="X37" i="2"/>
  <c r="Y37" i="2" s="1"/>
  <c r="G37" i="22" s="1"/>
  <c r="X38" i="2"/>
  <c r="Y38" i="2" s="1"/>
  <c r="G38" i="22" s="1"/>
  <c r="X39" i="2"/>
  <c r="Y39" i="2" s="1"/>
  <c r="G39" i="22" s="1"/>
  <c r="X40" i="2"/>
  <c r="Y40" i="2" s="1"/>
  <c r="G40" i="22" s="1"/>
  <c r="X41" i="2"/>
  <c r="Y41" i="2" s="1"/>
  <c r="G41" i="22" s="1"/>
  <c r="X42" i="2"/>
  <c r="Y42" i="2" s="1"/>
  <c r="G42" i="22" s="1"/>
  <c r="X43" i="2"/>
  <c r="Y43" i="2" s="1"/>
  <c r="G43" i="22" s="1"/>
  <c r="X44" i="2"/>
  <c r="Y44" i="2" s="1"/>
  <c r="G44" i="22" s="1"/>
  <c r="X45" i="2"/>
  <c r="Y45" i="2" s="1"/>
  <c r="G45" i="22" s="1"/>
  <c r="X46" i="2"/>
  <c r="Y46" i="2" s="1"/>
  <c r="G46" i="22" s="1"/>
  <c r="X47" i="2"/>
  <c r="Y47" i="2" s="1"/>
  <c r="G47" i="22" s="1"/>
  <c r="X48" i="2"/>
  <c r="Y48" i="2" s="1"/>
  <c r="G48" i="22" s="1"/>
  <c r="X49" i="2"/>
  <c r="Y49" i="2" s="1"/>
  <c r="G49" i="22" s="1"/>
  <c r="X50" i="2"/>
  <c r="Y50" i="2" s="1"/>
  <c r="G50" i="22" s="1"/>
  <c r="X51" i="2"/>
  <c r="Y51" i="2" s="1"/>
  <c r="G51" i="22" s="1"/>
  <c r="X52" i="2"/>
  <c r="Y52" i="2" s="1"/>
  <c r="G52" i="22" s="1"/>
  <c r="X53" i="2"/>
  <c r="Y53" i="2" s="1"/>
  <c r="G53" i="22" s="1"/>
  <c r="X54" i="2"/>
  <c r="Y54" i="2" s="1"/>
  <c r="G54" i="22" s="1"/>
  <c r="X55" i="2"/>
  <c r="Y55" i="2" s="1"/>
  <c r="G55" i="22" s="1"/>
  <c r="X56" i="2"/>
  <c r="Y56" i="2" s="1"/>
  <c r="G56" i="22" s="1"/>
  <c r="X57" i="2"/>
  <c r="Y57" i="2" s="1"/>
  <c r="G57" i="22" s="1"/>
  <c r="X58" i="2"/>
  <c r="Y58" i="2" s="1"/>
  <c r="G58" i="22" s="1"/>
  <c r="X59" i="2"/>
  <c r="Y59" i="2" s="1"/>
  <c r="G59" i="22" s="1"/>
  <c r="X60" i="2"/>
  <c r="Y60" i="2" s="1"/>
  <c r="G60" i="22" s="1"/>
  <c r="X61" i="2"/>
  <c r="Y61" i="2" s="1"/>
  <c r="G61" i="22" s="1"/>
  <c r="X62" i="2"/>
  <c r="Y62" i="2" s="1"/>
  <c r="G62" i="22" s="1"/>
  <c r="X63" i="2"/>
  <c r="Y63" i="2" s="1"/>
  <c r="G63" i="22" s="1"/>
  <c r="X64" i="2"/>
  <c r="Y64" i="2" s="1"/>
  <c r="G64" i="22" s="1"/>
  <c r="X65" i="2"/>
  <c r="Y65" i="2" s="1"/>
  <c r="G65" i="22" s="1"/>
  <c r="X66" i="2"/>
  <c r="Y66" i="2" s="1"/>
  <c r="G66" i="22" s="1"/>
  <c r="X67" i="2"/>
  <c r="Y67" i="2" s="1"/>
  <c r="G67" i="22" s="1"/>
  <c r="X68" i="2"/>
  <c r="Y68" i="2" s="1"/>
  <c r="G68" i="22" s="1"/>
  <c r="X69" i="2"/>
  <c r="Y69" i="2" s="1"/>
  <c r="G69" i="22" s="1"/>
  <c r="X70" i="2"/>
  <c r="Y70" i="2" s="1"/>
  <c r="G70" i="22" s="1"/>
  <c r="X71" i="2"/>
  <c r="Y71" i="2" s="1"/>
  <c r="G71" i="22" s="1"/>
  <c r="X72" i="2"/>
  <c r="Y72" i="2" s="1"/>
  <c r="G72" i="22" s="1"/>
  <c r="X73" i="2"/>
  <c r="Y73" i="2" s="1"/>
  <c r="G73" i="22" s="1"/>
  <c r="X74" i="2"/>
  <c r="Y74" i="2" s="1"/>
  <c r="G74" i="22" s="1"/>
  <c r="X75" i="2"/>
  <c r="Y75" i="2" s="1"/>
  <c r="G75" i="22" s="1"/>
  <c r="X76" i="2"/>
  <c r="Y76" i="2" s="1"/>
  <c r="G76" i="22" s="1"/>
  <c r="X77" i="2"/>
  <c r="Y77" i="2" s="1"/>
  <c r="G77" i="22" s="1"/>
  <c r="X78" i="2"/>
  <c r="Y78" i="2" s="1"/>
  <c r="G78" i="22" s="1"/>
  <c r="X79" i="2"/>
  <c r="Y79" i="2" s="1"/>
  <c r="G79" i="22" s="1"/>
  <c r="X80" i="2"/>
  <c r="Y80" i="2" s="1"/>
  <c r="G80" i="22" s="1"/>
  <c r="X81" i="2"/>
  <c r="Y81" i="2" s="1"/>
  <c r="G81" i="22" s="1"/>
  <c r="X82" i="2"/>
  <c r="Y82" i="2" s="1"/>
  <c r="G82" i="22" s="1"/>
  <c r="X83" i="2"/>
  <c r="Y83" i="2" s="1"/>
  <c r="G83" i="22" s="1"/>
  <c r="X84" i="2"/>
  <c r="Y84" i="2" s="1"/>
  <c r="G84" i="22" s="1"/>
  <c r="X85" i="2"/>
  <c r="Y85" i="2" s="1"/>
  <c r="G85" i="22" s="1"/>
  <c r="X86" i="2"/>
  <c r="Y86" i="2" s="1"/>
  <c r="G86" i="22" s="1"/>
  <c r="X87" i="2"/>
  <c r="Y87" i="2" s="1"/>
  <c r="G87" i="22" s="1"/>
  <c r="X88" i="2"/>
  <c r="Y88" i="2" s="1"/>
  <c r="G88" i="22" s="1"/>
  <c r="X89" i="2"/>
  <c r="Y89" i="2" s="1"/>
  <c r="G89" i="22" s="1"/>
  <c r="X90" i="2"/>
  <c r="Y90" i="2" s="1"/>
  <c r="G90" i="22" s="1"/>
  <c r="X91" i="2"/>
  <c r="Y91" i="2" s="1"/>
  <c r="G91" i="22" s="1"/>
  <c r="X92" i="2"/>
  <c r="Y92" i="2" s="1"/>
  <c r="G92" i="22" s="1"/>
  <c r="X93" i="2"/>
  <c r="Y93" i="2" s="1"/>
  <c r="G93" i="22" s="1"/>
  <c r="X94" i="2"/>
  <c r="Y94" i="2" s="1"/>
  <c r="G94" i="22" s="1"/>
  <c r="X95" i="2"/>
  <c r="Y95" i="2" s="1"/>
  <c r="G95" i="22" s="1"/>
  <c r="X96" i="2"/>
  <c r="Y96" i="2" s="1"/>
  <c r="G96" i="22" s="1"/>
  <c r="X97" i="2"/>
  <c r="Y97" i="2" s="1"/>
  <c r="G97" i="22" s="1"/>
  <c r="X98" i="2"/>
  <c r="Y98" i="2" s="1"/>
  <c r="G98" i="22" s="1"/>
  <c r="X99" i="2"/>
  <c r="Y99" i="2" s="1"/>
  <c r="G99" i="22" s="1"/>
  <c r="X100" i="2"/>
  <c r="Y100" i="2" s="1"/>
  <c r="G100" i="22" s="1"/>
  <c r="X101" i="2"/>
  <c r="Y101" i="2" s="1"/>
  <c r="G101" i="22" s="1"/>
  <c r="X102" i="2"/>
  <c r="Y102" i="2" s="1"/>
  <c r="G102" i="22" s="1"/>
  <c r="X103" i="2"/>
  <c r="Y103" i="2" s="1"/>
  <c r="G103" i="22" s="1"/>
  <c r="X104" i="2"/>
  <c r="Y104" i="2" s="1"/>
  <c r="G104" i="22" s="1"/>
  <c r="X105" i="2"/>
  <c r="Y105" i="2" s="1"/>
  <c r="G105" i="22" s="1"/>
  <c r="X106" i="2"/>
  <c r="Y106" i="2" s="1"/>
  <c r="G106" i="22" s="1"/>
  <c r="X107" i="2"/>
  <c r="Y107" i="2" s="1"/>
  <c r="G107" i="22" s="1"/>
  <c r="X108" i="2"/>
  <c r="Y108" i="2" s="1"/>
  <c r="G108" i="22" s="1"/>
  <c r="X109" i="2"/>
  <c r="Y109" i="2" s="1"/>
  <c r="G109" i="22" s="1"/>
  <c r="X110" i="2"/>
  <c r="Y110" i="2" s="1"/>
  <c r="G110" i="22" s="1"/>
  <c r="X111" i="2"/>
  <c r="Y111" i="2" s="1"/>
  <c r="G111" i="22" s="1"/>
  <c r="X112" i="2"/>
  <c r="Y112" i="2" s="1"/>
  <c r="G112" i="22" s="1"/>
  <c r="X113" i="2"/>
  <c r="Y113" i="2" s="1"/>
  <c r="G113" i="22" s="1"/>
  <c r="X114" i="2"/>
  <c r="Y114" i="2" s="1"/>
  <c r="G114" i="22" s="1"/>
  <c r="X115" i="2"/>
  <c r="Y115" i="2" s="1"/>
  <c r="G115" i="22" s="1"/>
  <c r="X116" i="2"/>
  <c r="Y116" i="2" s="1"/>
  <c r="G116" i="22" s="1"/>
  <c r="X117" i="2"/>
  <c r="Y117" i="2" s="1"/>
  <c r="G117" i="22" s="1"/>
  <c r="X118" i="2"/>
  <c r="Y118" i="2" s="1"/>
  <c r="G118" i="22" s="1"/>
  <c r="X119" i="2"/>
  <c r="Y119" i="2" s="1"/>
  <c r="G119" i="22" s="1"/>
  <c r="X120" i="2"/>
  <c r="Y120" i="2" s="1"/>
  <c r="G120" i="22" s="1"/>
  <c r="X121" i="2"/>
  <c r="Y121" i="2" s="1"/>
  <c r="G121" i="22" s="1"/>
  <c r="X122" i="2"/>
  <c r="Y122" i="2" s="1"/>
  <c r="G122" i="22" s="1"/>
  <c r="X123" i="2"/>
  <c r="Y123" i="2" s="1"/>
  <c r="G123" i="22" s="1"/>
  <c r="X124" i="2"/>
  <c r="Y124" i="2" s="1"/>
  <c r="G124" i="22" s="1"/>
  <c r="X125" i="2"/>
  <c r="Y125" i="2" s="1"/>
  <c r="G125" i="22" s="1"/>
  <c r="X6" i="2"/>
  <c r="Y6" i="2" s="1"/>
  <c r="G6" i="22" s="1"/>
  <c r="H7" i="2"/>
  <c r="I7" i="2" s="1"/>
  <c r="C7" i="22" s="1"/>
  <c r="H8" i="2"/>
  <c r="I8" i="2" s="1"/>
  <c r="C8" i="22" s="1"/>
  <c r="H9" i="2"/>
  <c r="I9" i="2" s="1"/>
  <c r="C9" i="22" s="1"/>
  <c r="H10" i="2"/>
  <c r="I10" i="2" s="1"/>
  <c r="C10" i="22" s="1"/>
  <c r="H11" i="2"/>
  <c r="I11" i="2" s="1"/>
  <c r="C11" i="22" s="1"/>
  <c r="H12" i="2"/>
  <c r="I12" i="2" s="1"/>
  <c r="C12" i="22" s="1"/>
  <c r="H13" i="2"/>
  <c r="I13" i="2" s="1"/>
  <c r="C13" i="22" s="1"/>
  <c r="H14" i="2"/>
  <c r="I14" i="2" s="1"/>
  <c r="C14" i="22" s="1"/>
  <c r="H15" i="2"/>
  <c r="I15" i="2" s="1"/>
  <c r="C15" i="22" s="1"/>
  <c r="H16" i="2"/>
  <c r="I16" i="2" s="1"/>
  <c r="C16" i="22" s="1"/>
  <c r="H17" i="2"/>
  <c r="I17" i="2" s="1"/>
  <c r="C17" i="22" s="1"/>
  <c r="H18" i="2"/>
  <c r="I18" i="2" s="1"/>
  <c r="C18" i="22" s="1"/>
  <c r="H19" i="2"/>
  <c r="I19" i="2" s="1"/>
  <c r="C19" i="22" s="1"/>
  <c r="H20" i="2"/>
  <c r="I20" i="2" s="1"/>
  <c r="C20" i="22" s="1"/>
  <c r="H21" i="2"/>
  <c r="I21" i="2" s="1"/>
  <c r="C21" i="22" s="1"/>
  <c r="H22" i="2"/>
  <c r="I22" i="2" s="1"/>
  <c r="C22" i="22" s="1"/>
  <c r="H23" i="2"/>
  <c r="I23" i="2" s="1"/>
  <c r="C23" i="22" s="1"/>
  <c r="H24" i="2"/>
  <c r="I24" i="2" s="1"/>
  <c r="C24" i="22" s="1"/>
  <c r="H25" i="2"/>
  <c r="I25" i="2" s="1"/>
  <c r="C25" i="22" s="1"/>
  <c r="H26" i="2"/>
  <c r="I26" i="2" s="1"/>
  <c r="C26" i="22" s="1"/>
  <c r="H27" i="2"/>
  <c r="I27" i="2" s="1"/>
  <c r="C27" i="22" s="1"/>
  <c r="H28" i="2"/>
  <c r="I28" i="2" s="1"/>
  <c r="C28" i="22" s="1"/>
  <c r="H29" i="2"/>
  <c r="I29" i="2" s="1"/>
  <c r="C29" i="22" s="1"/>
  <c r="H30" i="2"/>
  <c r="I30" i="2" s="1"/>
  <c r="C30" i="22" s="1"/>
  <c r="H31" i="2"/>
  <c r="I31" i="2" s="1"/>
  <c r="C31" i="22" s="1"/>
  <c r="H32" i="2"/>
  <c r="I32" i="2" s="1"/>
  <c r="C32" i="22" s="1"/>
  <c r="H33" i="2"/>
  <c r="I33" i="2" s="1"/>
  <c r="C33" i="22" s="1"/>
  <c r="H34" i="2"/>
  <c r="I34" i="2" s="1"/>
  <c r="C34" i="22" s="1"/>
  <c r="H35" i="2"/>
  <c r="I35" i="2" s="1"/>
  <c r="C35" i="22" s="1"/>
  <c r="H36" i="2"/>
  <c r="I36" i="2" s="1"/>
  <c r="C36" i="22" s="1"/>
  <c r="H37" i="2"/>
  <c r="I37" i="2" s="1"/>
  <c r="C37" i="22" s="1"/>
  <c r="H38" i="2"/>
  <c r="I38" i="2" s="1"/>
  <c r="C38" i="22" s="1"/>
  <c r="H39" i="2"/>
  <c r="I39" i="2" s="1"/>
  <c r="C39" i="22" s="1"/>
  <c r="H40" i="2"/>
  <c r="I40" i="2" s="1"/>
  <c r="C40" i="22" s="1"/>
  <c r="H41" i="2"/>
  <c r="I41" i="2" s="1"/>
  <c r="C41" i="22" s="1"/>
  <c r="H42" i="2"/>
  <c r="I42" i="2" s="1"/>
  <c r="C42" i="22" s="1"/>
  <c r="H43" i="2"/>
  <c r="I43" i="2" s="1"/>
  <c r="C43" i="22" s="1"/>
  <c r="H44" i="2"/>
  <c r="I44" i="2" s="1"/>
  <c r="C44" i="22" s="1"/>
  <c r="H45" i="2"/>
  <c r="I45" i="2" s="1"/>
  <c r="C45" i="22" s="1"/>
  <c r="H46" i="2"/>
  <c r="I46" i="2" s="1"/>
  <c r="C46" i="22" s="1"/>
  <c r="H47" i="2"/>
  <c r="I47" i="2" s="1"/>
  <c r="C47" i="22" s="1"/>
  <c r="H48" i="2"/>
  <c r="I48" i="2" s="1"/>
  <c r="C48" i="22" s="1"/>
  <c r="H49" i="2"/>
  <c r="I49" i="2" s="1"/>
  <c r="C49" i="22" s="1"/>
  <c r="H50" i="2"/>
  <c r="I50" i="2" s="1"/>
  <c r="C50" i="22" s="1"/>
  <c r="H51" i="2"/>
  <c r="I51" i="2" s="1"/>
  <c r="C51" i="22" s="1"/>
  <c r="H52" i="2"/>
  <c r="I52" i="2" s="1"/>
  <c r="C52" i="22" s="1"/>
  <c r="H53" i="2"/>
  <c r="I53" i="2" s="1"/>
  <c r="C53" i="22" s="1"/>
  <c r="H54" i="2"/>
  <c r="I54" i="2" s="1"/>
  <c r="C54" i="22" s="1"/>
  <c r="H55" i="2"/>
  <c r="I55" i="2" s="1"/>
  <c r="C55" i="22" s="1"/>
  <c r="H56" i="2"/>
  <c r="I56" i="2" s="1"/>
  <c r="C56" i="22" s="1"/>
  <c r="H57" i="2"/>
  <c r="I57" i="2" s="1"/>
  <c r="C57" i="22" s="1"/>
  <c r="H58" i="2"/>
  <c r="I58" i="2" s="1"/>
  <c r="C58" i="22" s="1"/>
  <c r="H59" i="2"/>
  <c r="I59" i="2" s="1"/>
  <c r="C59" i="22" s="1"/>
  <c r="H60" i="2"/>
  <c r="I60" i="2" s="1"/>
  <c r="C60" i="22" s="1"/>
  <c r="H61" i="2"/>
  <c r="I61" i="2" s="1"/>
  <c r="C61" i="22" s="1"/>
  <c r="H62" i="2"/>
  <c r="I62" i="2" s="1"/>
  <c r="C62" i="22" s="1"/>
  <c r="H63" i="2"/>
  <c r="I63" i="2" s="1"/>
  <c r="C63" i="22" s="1"/>
  <c r="H64" i="2"/>
  <c r="I64" i="2" s="1"/>
  <c r="C64" i="22" s="1"/>
  <c r="H65" i="2"/>
  <c r="I65" i="2" s="1"/>
  <c r="C65" i="22" s="1"/>
  <c r="H66" i="2"/>
  <c r="I66" i="2" s="1"/>
  <c r="C66" i="22" s="1"/>
  <c r="H67" i="2"/>
  <c r="I67" i="2" s="1"/>
  <c r="C67" i="22" s="1"/>
  <c r="H68" i="2"/>
  <c r="I68" i="2" s="1"/>
  <c r="C68" i="22" s="1"/>
  <c r="H69" i="2"/>
  <c r="I69" i="2" s="1"/>
  <c r="C69" i="22" s="1"/>
  <c r="H70" i="2"/>
  <c r="I70" i="2" s="1"/>
  <c r="C70" i="22" s="1"/>
  <c r="H71" i="2"/>
  <c r="I71" i="2" s="1"/>
  <c r="C71" i="22" s="1"/>
  <c r="H72" i="2"/>
  <c r="I72" i="2" s="1"/>
  <c r="C72" i="22" s="1"/>
  <c r="H73" i="2"/>
  <c r="I73" i="2" s="1"/>
  <c r="C73" i="22" s="1"/>
  <c r="H74" i="2"/>
  <c r="I74" i="2" s="1"/>
  <c r="C74" i="22" s="1"/>
  <c r="H75" i="2"/>
  <c r="I75" i="2" s="1"/>
  <c r="C75" i="22" s="1"/>
  <c r="H76" i="2"/>
  <c r="I76" i="2" s="1"/>
  <c r="C76" i="22" s="1"/>
  <c r="H77" i="2"/>
  <c r="I77" i="2" s="1"/>
  <c r="C77" i="22" s="1"/>
  <c r="H78" i="2"/>
  <c r="I78" i="2" s="1"/>
  <c r="C78" i="22" s="1"/>
  <c r="H79" i="2"/>
  <c r="I79" i="2" s="1"/>
  <c r="C79" i="22" s="1"/>
  <c r="H80" i="2"/>
  <c r="I80" i="2" s="1"/>
  <c r="C80" i="22" s="1"/>
  <c r="H81" i="2"/>
  <c r="I81" i="2" s="1"/>
  <c r="C81" i="22" s="1"/>
  <c r="H82" i="2"/>
  <c r="I82" i="2" s="1"/>
  <c r="C82" i="22" s="1"/>
  <c r="H83" i="2"/>
  <c r="I83" i="2" s="1"/>
  <c r="C83" i="22" s="1"/>
  <c r="H84" i="2"/>
  <c r="I84" i="2" s="1"/>
  <c r="C84" i="22" s="1"/>
  <c r="H85" i="2"/>
  <c r="I85" i="2" s="1"/>
  <c r="C85" i="22" s="1"/>
  <c r="H86" i="2"/>
  <c r="I86" i="2" s="1"/>
  <c r="C86" i="22" s="1"/>
  <c r="H87" i="2"/>
  <c r="I87" i="2" s="1"/>
  <c r="C87" i="22" s="1"/>
  <c r="H88" i="2"/>
  <c r="I88" i="2" s="1"/>
  <c r="C88" i="22" s="1"/>
  <c r="H89" i="2"/>
  <c r="I89" i="2" s="1"/>
  <c r="C89" i="22" s="1"/>
  <c r="H90" i="2"/>
  <c r="I90" i="2" s="1"/>
  <c r="C90" i="22" s="1"/>
  <c r="H91" i="2"/>
  <c r="I91" i="2" s="1"/>
  <c r="C91" i="22" s="1"/>
  <c r="H92" i="2"/>
  <c r="I92" i="2" s="1"/>
  <c r="C92" i="22" s="1"/>
  <c r="H93" i="2"/>
  <c r="I93" i="2" s="1"/>
  <c r="C93" i="22" s="1"/>
  <c r="H94" i="2"/>
  <c r="I94" i="2" s="1"/>
  <c r="C94" i="22" s="1"/>
  <c r="H95" i="2"/>
  <c r="I95" i="2" s="1"/>
  <c r="C95" i="22" s="1"/>
  <c r="H96" i="2"/>
  <c r="I96" i="2" s="1"/>
  <c r="C96" i="22" s="1"/>
  <c r="H97" i="2"/>
  <c r="I97" i="2" s="1"/>
  <c r="C97" i="22" s="1"/>
  <c r="H98" i="2"/>
  <c r="I98" i="2" s="1"/>
  <c r="C98" i="22" s="1"/>
  <c r="H99" i="2"/>
  <c r="I99" i="2" s="1"/>
  <c r="C99" i="22" s="1"/>
  <c r="H100" i="2"/>
  <c r="I100" i="2" s="1"/>
  <c r="C100" i="22" s="1"/>
  <c r="H101" i="2"/>
  <c r="I101" i="2" s="1"/>
  <c r="C101" i="22" s="1"/>
  <c r="H102" i="2"/>
  <c r="I102" i="2" s="1"/>
  <c r="C102" i="22" s="1"/>
  <c r="H103" i="2"/>
  <c r="I103" i="2" s="1"/>
  <c r="C103" i="22" s="1"/>
  <c r="H104" i="2"/>
  <c r="I104" i="2" s="1"/>
  <c r="C104" i="22" s="1"/>
  <c r="H105" i="2"/>
  <c r="I105" i="2" s="1"/>
  <c r="C105" i="22" s="1"/>
  <c r="H106" i="2"/>
  <c r="I106" i="2" s="1"/>
  <c r="C106" i="22" s="1"/>
  <c r="H107" i="2"/>
  <c r="I107" i="2" s="1"/>
  <c r="C107" i="22" s="1"/>
  <c r="H108" i="2"/>
  <c r="I108" i="2" s="1"/>
  <c r="C108" i="22" s="1"/>
  <c r="H109" i="2"/>
  <c r="I109" i="2" s="1"/>
  <c r="C109" i="22" s="1"/>
  <c r="H110" i="2"/>
  <c r="I110" i="2" s="1"/>
  <c r="C110" i="22" s="1"/>
  <c r="H111" i="2"/>
  <c r="I111" i="2" s="1"/>
  <c r="C111" i="22" s="1"/>
  <c r="H112" i="2"/>
  <c r="I112" i="2" s="1"/>
  <c r="C112" i="22" s="1"/>
  <c r="H113" i="2"/>
  <c r="I113" i="2" s="1"/>
  <c r="C113" i="22" s="1"/>
  <c r="H114" i="2"/>
  <c r="I114" i="2" s="1"/>
  <c r="C114" i="22" s="1"/>
  <c r="H115" i="2"/>
  <c r="I115" i="2" s="1"/>
  <c r="C115" i="22" s="1"/>
  <c r="H116" i="2"/>
  <c r="I116" i="2" s="1"/>
  <c r="C116" i="22" s="1"/>
  <c r="H117" i="2"/>
  <c r="I117" i="2" s="1"/>
  <c r="C117" i="22" s="1"/>
  <c r="H118" i="2"/>
  <c r="I118" i="2" s="1"/>
  <c r="C118" i="22" s="1"/>
  <c r="H119" i="2"/>
  <c r="I119" i="2" s="1"/>
  <c r="C119" i="22" s="1"/>
  <c r="H120" i="2"/>
  <c r="I120" i="2" s="1"/>
  <c r="C120" i="22" s="1"/>
  <c r="H121" i="2"/>
  <c r="I121" i="2" s="1"/>
  <c r="C121" i="22" s="1"/>
  <c r="H122" i="2"/>
  <c r="I122" i="2" s="1"/>
  <c r="C122" i="22" s="1"/>
  <c r="H123" i="2"/>
  <c r="I123" i="2" s="1"/>
  <c r="C123" i="22" s="1"/>
  <c r="H124" i="2"/>
  <c r="I124" i="2" s="1"/>
  <c r="C124" i="22" s="1"/>
  <c r="H125" i="2"/>
  <c r="I125" i="2" s="1"/>
  <c r="C125" i="22" s="1"/>
  <c r="H6" i="2"/>
  <c r="I6" i="2" s="1"/>
  <c r="C6" i="22" s="1"/>
  <c r="P7" i="2"/>
  <c r="P8" i="2"/>
  <c r="P9" i="2"/>
  <c r="Q9" i="2" s="1"/>
  <c r="E9" i="22" s="1"/>
  <c r="P10" i="2"/>
  <c r="Q10" i="2" s="1"/>
  <c r="E10" i="22" s="1"/>
  <c r="P11" i="2"/>
  <c r="Q11" i="2" s="1"/>
  <c r="E11" i="22" s="1"/>
  <c r="P12" i="2"/>
  <c r="Q12" i="2" s="1"/>
  <c r="E12" i="22" s="1"/>
  <c r="P13" i="2"/>
  <c r="Q13" i="2" s="1"/>
  <c r="E13" i="22" s="1"/>
  <c r="P14" i="2"/>
  <c r="Q14" i="2" s="1"/>
  <c r="E14" i="22" s="1"/>
  <c r="P15" i="2"/>
  <c r="Q15" i="2" s="1"/>
  <c r="E15" i="22" s="1"/>
  <c r="P16" i="2"/>
  <c r="Q16" i="2" s="1"/>
  <c r="E16" i="22" s="1"/>
  <c r="P17" i="2"/>
  <c r="Q17" i="2" s="1"/>
  <c r="E17" i="22" s="1"/>
  <c r="P18" i="2"/>
  <c r="Q18" i="2" s="1"/>
  <c r="E18" i="22" s="1"/>
  <c r="P19" i="2"/>
  <c r="Q19" i="2" s="1"/>
  <c r="E19" i="22" s="1"/>
  <c r="P20" i="2"/>
  <c r="Q20" i="2" s="1"/>
  <c r="E20" i="22" s="1"/>
  <c r="P21" i="2"/>
  <c r="Q21" i="2" s="1"/>
  <c r="E21" i="22" s="1"/>
  <c r="P22" i="2"/>
  <c r="Q22" i="2" s="1"/>
  <c r="E22" i="22" s="1"/>
  <c r="P23" i="2"/>
  <c r="Q23" i="2" s="1"/>
  <c r="E23" i="22" s="1"/>
  <c r="P24" i="2"/>
  <c r="Q24" i="2" s="1"/>
  <c r="E24" i="22" s="1"/>
  <c r="P25" i="2"/>
  <c r="Q25" i="2" s="1"/>
  <c r="E25" i="22" s="1"/>
  <c r="P26" i="2"/>
  <c r="Q26" i="2" s="1"/>
  <c r="E26" i="22" s="1"/>
  <c r="P27" i="2"/>
  <c r="Q27" i="2" s="1"/>
  <c r="E27" i="22" s="1"/>
  <c r="P28" i="2"/>
  <c r="Q28" i="2" s="1"/>
  <c r="E28" i="22" s="1"/>
  <c r="P29" i="2"/>
  <c r="Q29" i="2" s="1"/>
  <c r="E29" i="22" s="1"/>
  <c r="P30" i="2"/>
  <c r="Q30" i="2" s="1"/>
  <c r="E30" i="22" s="1"/>
  <c r="P31" i="2"/>
  <c r="Q31" i="2" s="1"/>
  <c r="E31" i="22" s="1"/>
  <c r="P32" i="2"/>
  <c r="Q32" i="2" s="1"/>
  <c r="E32" i="22" s="1"/>
  <c r="P33" i="2"/>
  <c r="Q33" i="2" s="1"/>
  <c r="E33" i="22" s="1"/>
  <c r="P34" i="2"/>
  <c r="Q34" i="2" s="1"/>
  <c r="E34" i="22" s="1"/>
  <c r="P35" i="2"/>
  <c r="Q35" i="2" s="1"/>
  <c r="E35" i="22" s="1"/>
  <c r="P36" i="2"/>
  <c r="Q36" i="2" s="1"/>
  <c r="E36" i="22" s="1"/>
  <c r="P37" i="2"/>
  <c r="Q37" i="2" s="1"/>
  <c r="E37" i="22" s="1"/>
  <c r="P38" i="2"/>
  <c r="Q38" i="2" s="1"/>
  <c r="E38" i="22" s="1"/>
  <c r="P39" i="2"/>
  <c r="Q39" i="2" s="1"/>
  <c r="E39" i="22" s="1"/>
  <c r="P40" i="2"/>
  <c r="Q40" i="2" s="1"/>
  <c r="E40" i="22" s="1"/>
  <c r="P41" i="2"/>
  <c r="Q41" i="2" s="1"/>
  <c r="E41" i="22" s="1"/>
  <c r="P42" i="2"/>
  <c r="Q42" i="2" s="1"/>
  <c r="E42" i="22" s="1"/>
  <c r="P43" i="2"/>
  <c r="Q43" i="2" s="1"/>
  <c r="E43" i="22" s="1"/>
  <c r="P44" i="2"/>
  <c r="Q44" i="2" s="1"/>
  <c r="E44" i="22" s="1"/>
  <c r="P45" i="2"/>
  <c r="Q45" i="2" s="1"/>
  <c r="E45" i="22" s="1"/>
  <c r="P46" i="2"/>
  <c r="Q46" i="2" s="1"/>
  <c r="E46" i="22" s="1"/>
  <c r="P47" i="2"/>
  <c r="Q47" i="2" s="1"/>
  <c r="E47" i="22" s="1"/>
  <c r="P48" i="2"/>
  <c r="Q48" i="2" s="1"/>
  <c r="E48" i="22" s="1"/>
  <c r="P49" i="2"/>
  <c r="Q49" i="2" s="1"/>
  <c r="E49" i="22" s="1"/>
  <c r="P50" i="2"/>
  <c r="Q50" i="2" s="1"/>
  <c r="E50" i="22" s="1"/>
  <c r="P51" i="2"/>
  <c r="Q51" i="2" s="1"/>
  <c r="E51" i="22" s="1"/>
  <c r="P52" i="2"/>
  <c r="Q52" i="2" s="1"/>
  <c r="E52" i="22" s="1"/>
  <c r="P53" i="2"/>
  <c r="Q53" i="2" s="1"/>
  <c r="E53" i="22" s="1"/>
  <c r="P54" i="2"/>
  <c r="Q54" i="2" s="1"/>
  <c r="E54" i="22" s="1"/>
  <c r="P55" i="2"/>
  <c r="Q55" i="2" s="1"/>
  <c r="E55" i="22" s="1"/>
  <c r="P56" i="2"/>
  <c r="Q56" i="2" s="1"/>
  <c r="E56" i="22" s="1"/>
  <c r="P57" i="2"/>
  <c r="Q57" i="2" s="1"/>
  <c r="E57" i="22" s="1"/>
  <c r="P58" i="2"/>
  <c r="Q58" i="2" s="1"/>
  <c r="E58" i="22" s="1"/>
  <c r="P59" i="2"/>
  <c r="Q59" i="2" s="1"/>
  <c r="E59" i="22" s="1"/>
  <c r="P60" i="2"/>
  <c r="Q60" i="2" s="1"/>
  <c r="E60" i="22" s="1"/>
  <c r="P61" i="2"/>
  <c r="Q61" i="2" s="1"/>
  <c r="E61" i="22" s="1"/>
  <c r="P62" i="2"/>
  <c r="Q62" i="2" s="1"/>
  <c r="E62" i="22" s="1"/>
  <c r="P63" i="2"/>
  <c r="Q63" i="2" s="1"/>
  <c r="E63" i="22" s="1"/>
  <c r="P64" i="2"/>
  <c r="Q64" i="2" s="1"/>
  <c r="E64" i="22" s="1"/>
  <c r="P65" i="2"/>
  <c r="Q65" i="2" s="1"/>
  <c r="E65" i="22" s="1"/>
  <c r="P66" i="2"/>
  <c r="Q66" i="2" s="1"/>
  <c r="E66" i="22" s="1"/>
  <c r="P67" i="2"/>
  <c r="Q67" i="2" s="1"/>
  <c r="E67" i="22" s="1"/>
  <c r="P68" i="2"/>
  <c r="Q68" i="2" s="1"/>
  <c r="E68" i="22" s="1"/>
  <c r="P69" i="2"/>
  <c r="Q69" i="2" s="1"/>
  <c r="E69" i="22" s="1"/>
  <c r="P70" i="2"/>
  <c r="Q70" i="2" s="1"/>
  <c r="E70" i="22" s="1"/>
  <c r="P71" i="2"/>
  <c r="Q71" i="2" s="1"/>
  <c r="E71" i="22" s="1"/>
  <c r="P72" i="2"/>
  <c r="Q72" i="2" s="1"/>
  <c r="E72" i="22" s="1"/>
  <c r="P73" i="2"/>
  <c r="Q73" i="2" s="1"/>
  <c r="E73" i="22" s="1"/>
  <c r="P74" i="2"/>
  <c r="Q74" i="2" s="1"/>
  <c r="E74" i="22" s="1"/>
  <c r="P75" i="2"/>
  <c r="Q75" i="2" s="1"/>
  <c r="E75" i="22" s="1"/>
  <c r="P76" i="2"/>
  <c r="Q76" i="2" s="1"/>
  <c r="E76" i="22" s="1"/>
  <c r="P77" i="2"/>
  <c r="Q77" i="2" s="1"/>
  <c r="E77" i="22" s="1"/>
  <c r="P78" i="2"/>
  <c r="Q78" i="2" s="1"/>
  <c r="E78" i="22" s="1"/>
  <c r="P79" i="2"/>
  <c r="Q79" i="2" s="1"/>
  <c r="E79" i="22" s="1"/>
  <c r="P80" i="2"/>
  <c r="Q80" i="2" s="1"/>
  <c r="E80" i="22" s="1"/>
  <c r="P81" i="2"/>
  <c r="Q81" i="2" s="1"/>
  <c r="E81" i="22" s="1"/>
  <c r="P82" i="2"/>
  <c r="Q82" i="2" s="1"/>
  <c r="E82" i="22" s="1"/>
  <c r="P83" i="2"/>
  <c r="Q83" i="2" s="1"/>
  <c r="E83" i="22" s="1"/>
  <c r="P84" i="2"/>
  <c r="Q84" i="2" s="1"/>
  <c r="E84" i="22" s="1"/>
  <c r="P85" i="2"/>
  <c r="Q85" i="2" s="1"/>
  <c r="E85" i="22" s="1"/>
  <c r="P86" i="2"/>
  <c r="Q86" i="2" s="1"/>
  <c r="E86" i="22" s="1"/>
  <c r="P87" i="2"/>
  <c r="Q87" i="2" s="1"/>
  <c r="E87" i="22" s="1"/>
  <c r="P88" i="2"/>
  <c r="Q88" i="2" s="1"/>
  <c r="E88" i="22" s="1"/>
  <c r="P89" i="2"/>
  <c r="Q89" i="2" s="1"/>
  <c r="E89" i="22" s="1"/>
  <c r="P90" i="2"/>
  <c r="Q90" i="2" s="1"/>
  <c r="E90" i="22" s="1"/>
  <c r="P91" i="2"/>
  <c r="Q91" i="2" s="1"/>
  <c r="E91" i="22" s="1"/>
  <c r="P92" i="2"/>
  <c r="Q92" i="2" s="1"/>
  <c r="E92" i="22" s="1"/>
  <c r="P93" i="2"/>
  <c r="Q93" i="2" s="1"/>
  <c r="E93" i="22" s="1"/>
  <c r="P94" i="2"/>
  <c r="Q94" i="2" s="1"/>
  <c r="E94" i="22" s="1"/>
  <c r="P95" i="2"/>
  <c r="Q95" i="2" s="1"/>
  <c r="E95" i="22" s="1"/>
  <c r="P96" i="2"/>
  <c r="Q96" i="2" s="1"/>
  <c r="E96" i="22" s="1"/>
  <c r="P97" i="2"/>
  <c r="Q97" i="2" s="1"/>
  <c r="E97" i="22" s="1"/>
  <c r="P98" i="2"/>
  <c r="Q98" i="2" s="1"/>
  <c r="E98" i="22" s="1"/>
  <c r="P99" i="2"/>
  <c r="Q99" i="2" s="1"/>
  <c r="E99" i="22" s="1"/>
  <c r="P100" i="2"/>
  <c r="Q100" i="2" s="1"/>
  <c r="E100" i="22" s="1"/>
  <c r="P101" i="2"/>
  <c r="Q101" i="2" s="1"/>
  <c r="E101" i="22" s="1"/>
  <c r="P102" i="2"/>
  <c r="Q102" i="2" s="1"/>
  <c r="E102" i="22" s="1"/>
  <c r="P103" i="2"/>
  <c r="Q103" i="2" s="1"/>
  <c r="E103" i="22" s="1"/>
  <c r="P104" i="2"/>
  <c r="Q104" i="2" s="1"/>
  <c r="E104" i="22" s="1"/>
  <c r="P105" i="2"/>
  <c r="Q105" i="2" s="1"/>
  <c r="E105" i="22" s="1"/>
  <c r="P106" i="2"/>
  <c r="Q106" i="2" s="1"/>
  <c r="E106" i="22" s="1"/>
  <c r="P107" i="2"/>
  <c r="Q107" i="2" s="1"/>
  <c r="E107" i="22" s="1"/>
  <c r="P108" i="2"/>
  <c r="Q108" i="2" s="1"/>
  <c r="E108" i="22" s="1"/>
  <c r="P109" i="2"/>
  <c r="Q109" i="2" s="1"/>
  <c r="E109" i="22" s="1"/>
  <c r="P110" i="2"/>
  <c r="Q110" i="2" s="1"/>
  <c r="E110" i="22" s="1"/>
  <c r="P111" i="2"/>
  <c r="Q111" i="2" s="1"/>
  <c r="E111" i="22" s="1"/>
  <c r="P112" i="2"/>
  <c r="Q112" i="2" s="1"/>
  <c r="E112" i="22" s="1"/>
  <c r="P113" i="2"/>
  <c r="Q113" i="2" s="1"/>
  <c r="E113" i="22" s="1"/>
  <c r="P114" i="2"/>
  <c r="Q114" i="2" s="1"/>
  <c r="E114" i="22" s="1"/>
  <c r="P115" i="2"/>
  <c r="Q115" i="2" s="1"/>
  <c r="E115" i="22" s="1"/>
  <c r="P116" i="2"/>
  <c r="Q116" i="2" s="1"/>
  <c r="E116" i="22" s="1"/>
  <c r="P117" i="2"/>
  <c r="Q117" i="2" s="1"/>
  <c r="E117" i="22" s="1"/>
  <c r="P118" i="2"/>
  <c r="Q118" i="2" s="1"/>
  <c r="E118" i="22" s="1"/>
  <c r="P119" i="2"/>
  <c r="Q119" i="2" s="1"/>
  <c r="E119" i="22" s="1"/>
  <c r="P120" i="2"/>
  <c r="Q120" i="2" s="1"/>
  <c r="E120" i="22" s="1"/>
  <c r="P121" i="2"/>
  <c r="Q121" i="2" s="1"/>
  <c r="E121" i="22" s="1"/>
  <c r="P122" i="2"/>
  <c r="Q122" i="2" s="1"/>
  <c r="E122" i="22" s="1"/>
  <c r="P123" i="2"/>
  <c r="Q123" i="2" s="1"/>
  <c r="E123" i="22" s="1"/>
  <c r="P124" i="2"/>
  <c r="Q124" i="2" s="1"/>
  <c r="E124" i="22" s="1"/>
  <c r="P125" i="2"/>
  <c r="Q125" i="2" s="1"/>
  <c r="E125" i="22" s="1"/>
  <c r="P6" i="2"/>
  <c r="Q6" i="2" s="1"/>
  <c r="E6" i="22" s="1"/>
  <c r="AF7" i="1"/>
  <c r="AG7" i="1" s="1"/>
  <c r="I6" i="24" s="1"/>
  <c r="AF8" i="1"/>
  <c r="AG8" i="1" s="1"/>
  <c r="I7" i="24" s="1"/>
  <c r="AF9" i="1"/>
  <c r="AG9" i="1" s="1"/>
  <c r="I8" i="24" s="1"/>
  <c r="AF10" i="1"/>
  <c r="AG10" i="1" s="1"/>
  <c r="I9" i="24" s="1"/>
  <c r="AF11" i="1"/>
  <c r="AG11" i="1" s="1"/>
  <c r="I10" i="24" s="1"/>
  <c r="AF12" i="1"/>
  <c r="AG12" i="1" s="1"/>
  <c r="I11" i="24" s="1"/>
  <c r="AF13" i="1"/>
  <c r="AG13" i="1" s="1"/>
  <c r="I12" i="24" s="1"/>
  <c r="AF14" i="1"/>
  <c r="AG14" i="1" s="1"/>
  <c r="I13" i="24" s="1"/>
  <c r="AF15" i="1"/>
  <c r="AG15" i="1" s="1"/>
  <c r="I14" i="24" s="1"/>
  <c r="AF16" i="1"/>
  <c r="AG16" i="1" s="1"/>
  <c r="I15" i="24" s="1"/>
  <c r="AF17" i="1"/>
  <c r="AG17" i="1" s="1"/>
  <c r="I16" i="24" s="1"/>
  <c r="AF18" i="1"/>
  <c r="AG18" i="1" s="1"/>
  <c r="I17" i="24" s="1"/>
  <c r="AF19" i="1"/>
  <c r="AG19" i="1" s="1"/>
  <c r="I18" i="24" s="1"/>
  <c r="AF20" i="1"/>
  <c r="AG20" i="1" s="1"/>
  <c r="I19" i="24" s="1"/>
  <c r="AF21" i="1"/>
  <c r="AG21" i="1" s="1"/>
  <c r="I20" i="24" s="1"/>
  <c r="AF22" i="1"/>
  <c r="AG22" i="1" s="1"/>
  <c r="I21" i="24" s="1"/>
  <c r="AF23" i="1"/>
  <c r="AG23" i="1" s="1"/>
  <c r="I22" i="24" s="1"/>
  <c r="AF24" i="1"/>
  <c r="AG24" i="1" s="1"/>
  <c r="I23" i="24" s="1"/>
  <c r="AF25" i="1"/>
  <c r="AG25" i="1" s="1"/>
  <c r="I24" i="24" s="1"/>
  <c r="AF26" i="1"/>
  <c r="AG26" i="1" s="1"/>
  <c r="I25" i="24" s="1"/>
  <c r="AF27" i="1"/>
  <c r="AG27" i="1" s="1"/>
  <c r="I26" i="24" s="1"/>
  <c r="AF28" i="1"/>
  <c r="AG28" i="1" s="1"/>
  <c r="I27" i="24" s="1"/>
  <c r="AF29" i="1"/>
  <c r="AG29" i="1" s="1"/>
  <c r="I28" i="24" s="1"/>
  <c r="AF30" i="1"/>
  <c r="AG30" i="1" s="1"/>
  <c r="I29" i="24" s="1"/>
  <c r="AF31" i="1"/>
  <c r="AG31" i="1" s="1"/>
  <c r="I30" i="24" s="1"/>
  <c r="AF32" i="1"/>
  <c r="AG32" i="1" s="1"/>
  <c r="I31" i="24" s="1"/>
  <c r="AF33" i="1"/>
  <c r="AG33" i="1" s="1"/>
  <c r="I32" i="24" s="1"/>
  <c r="AF34" i="1"/>
  <c r="AG34" i="1" s="1"/>
  <c r="I33" i="24" s="1"/>
  <c r="AF35" i="1"/>
  <c r="AG35" i="1" s="1"/>
  <c r="I34" i="24" s="1"/>
  <c r="AF36" i="1"/>
  <c r="AG36" i="1" s="1"/>
  <c r="I35" i="24" s="1"/>
  <c r="AF37" i="1"/>
  <c r="AG37" i="1" s="1"/>
  <c r="I36" i="24" s="1"/>
  <c r="AF38" i="1"/>
  <c r="AG38" i="1" s="1"/>
  <c r="I37" i="24" s="1"/>
  <c r="AF39" i="1"/>
  <c r="AG39" i="1" s="1"/>
  <c r="I38" i="24" s="1"/>
  <c r="AF40" i="1"/>
  <c r="AG40" i="1" s="1"/>
  <c r="I39" i="24" s="1"/>
  <c r="AF41" i="1"/>
  <c r="AG41" i="1" s="1"/>
  <c r="I40" i="24" s="1"/>
  <c r="AF42" i="1"/>
  <c r="AG42" i="1" s="1"/>
  <c r="I41" i="24" s="1"/>
  <c r="AF43" i="1"/>
  <c r="AG43" i="1" s="1"/>
  <c r="I42" i="24" s="1"/>
  <c r="AF44" i="1"/>
  <c r="AG44" i="1" s="1"/>
  <c r="I43" i="24" s="1"/>
  <c r="AF45" i="1"/>
  <c r="AG45" i="1" s="1"/>
  <c r="I44" i="24" s="1"/>
  <c r="AF46" i="1"/>
  <c r="AG46" i="1" s="1"/>
  <c r="I45" i="24" s="1"/>
  <c r="AF47" i="1"/>
  <c r="AG47" i="1" s="1"/>
  <c r="I46" i="24" s="1"/>
  <c r="AF48" i="1"/>
  <c r="AG48" i="1" s="1"/>
  <c r="I47" i="24" s="1"/>
  <c r="AF49" i="1"/>
  <c r="AG49" i="1" s="1"/>
  <c r="I48" i="24" s="1"/>
  <c r="AF50" i="1"/>
  <c r="AG50" i="1" s="1"/>
  <c r="I49" i="24" s="1"/>
  <c r="AF51" i="1"/>
  <c r="AG51" i="1" s="1"/>
  <c r="I50" i="24" s="1"/>
  <c r="AF52" i="1"/>
  <c r="AG52" i="1" s="1"/>
  <c r="I51" i="24" s="1"/>
  <c r="AF53" i="1"/>
  <c r="AG53" i="1" s="1"/>
  <c r="I52" i="24" s="1"/>
  <c r="AF54" i="1"/>
  <c r="AG54" i="1" s="1"/>
  <c r="I53" i="24" s="1"/>
  <c r="AF55" i="1"/>
  <c r="AG55" i="1" s="1"/>
  <c r="I54" i="24" s="1"/>
  <c r="AF56" i="1"/>
  <c r="AG56" i="1" s="1"/>
  <c r="I55" i="24" s="1"/>
  <c r="AF57" i="1"/>
  <c r="AG57" i="1" s="1"/>
  <c r="I56" i="24" s="1"/>
  <c r="AF58" i="1"/>
  <c r="AG58" i="1" s="1"/>
  <c r="I57" i="24" s="1"/>
  <c r="AF59" i="1"/>
  <c r="AG59" i="1" s="1"/>
  <c r="I58" i="24" s="1"/>
  <c r="AF60" i="1"/>
  <c r="AG60" i="1" s="1"/>
  <c r="I59" i="24" s="1"/>
  <c r="AF61" i="1"/>
  <c r="AG61" i="1" s="1"/>
  <c r="I60" i="24" s="1"/>
  <c r="AF62" i="1"/>
  <c r="AG62" i="1" s="1"/>
  <c r="I61" i="24" s="1"/>
  <c r="AF63" i="1"/>
  <c r="AG63" i="1" s="1"/>
  <c r="I62" i="24" s="1"/>
  <c r="AF64" i="1"/>
  <c r="AG64" i="1" s="1"/>
  <c r="I63" i="24" s="1"/>
  <c r="AF65" i="1"/>
  <c r="AG65" i="1" s="1"/>
  <c r="I64" i="24" s="1"/>
  <c r="AF66" i="1"/>
  <c r="AG66" i="1" s="1"/>
  <c r="I65" i="24" s="1"/>
  <c r="AF67" i="1"/>
  <c r="AG67" i="1" s="1"/>
  <c r="I66" i="24" s="1"/>
  <c r="AF68" i="1"/>
  <c r="AG68" i="1" s="1"/>
  <c r="I67" i="24" s="1"/>
  <c r="AF69" i="1"/>
  <c r="AG69" i="1" s="1"/>
  <c r="I68" i="24" s="1"/>
  <c r="AF70" i="1"/>
  <c r="AG70" i="1" s="1"/>
  <c r="I69" i="24" s="1"/>
  <c r="AF71" i="1"/>
  <c r="AG71" i="1" s="1"/>
  <c r="I70" i="24" s="1"/>
  <c r="AF72" i="1"/>
  <c r="AG72" i="1" s="1"/>
  <c r="I71" i="24" s="1"/>
  <c r="AF73" i="1"/>
  <c r="AG73" i="1" s="1"/>
  <c r="I72" i="24" s="1"/>
  <c r="AF74" i="1"/>
  <c r="AG74" i="1" s="1"/>
  <c r="I73" i="24" s="1"/>
  <c r="AF75" i="1"/>
  <c r="AG75" i="1" s="1"/>
  <c r="I74" i="24" s="1"/>
  <c r="AF76" i="1"/>
  <c r="AG76" i="1" s="1"/>
  <c r="I75" i="24" s="1"/>
  <c r="AF77" i="1"/>
  <c r="AG77" i="1" s="1"/>
  <c r="I76" i="24" s="1"/>
  <c r="AF78" i="1"/>
  <c r="AG78" i="1" s="1"/>
  <c r="I77" i="24" s="1"/>
  <c r="AF79" i="1"/>
  <c r="AG79" i="1" s="1"/>
  <c r="I78" i="24" s="1"/>
  <c r="AF80" i="1"/>
  <c r="AG80" i="1" s="1"/>
  <c r="I79" i="24" s="1"/>
  <c r="AF81" i="1"/>
  <c r="AG81" i="1" s="1"/>
  <c r="I80" i="24" s="1"/>
  <c r="AF82" i="1"/>
  <c r="AG82" i="1" s="1"/>
  <c r="I81" i="24" s="1"/>
  <c r="AF83" i="1"/>
  <c r="AG83" i="1" s="1"/>
  <c r="I82" i="24" s="1"/>
  <c r="AF84" i="1"/>
  <c r="AG84" i="1" s="1"/>
  <c r="I83" i="24" s="1"/>
  <c r="AF85" i="1"/>
  <c r="AG85" i="1" s="1"/>
  <c r="I84" i="24" s="1"/>
  <c r="AF86" i="1"/>
  <c r="AG86" i="1" s="1"/>
  <c r="I85" i="24" s="1"/>
  <c r="AF87" i="1"/>
  <c r="AG87" i="1" s="1"/>
  <c r="I86" i="24" s="1"/>
  <c r="AF88" i="1"/>
  <c r="AG88" i="1" s="1"/>
  <c r="I87" i="24" s="1"/>
  <c r="AF89" i="1"/>
  <c r="AG89" i="1" s="1"/>
  <c r="I88" i="24" s="1"/>
  <c r="AF90" i="1"/>
  <c r="AG90" i="1" s="1"/>
  <c r="I89" i="24" s="1"/>
  <c r="AF91" i="1"/>
  <c r="AG91" i="1" s="1"/>
  <c r="I90" i="24" s="1"/>
  <c r="AF92" i="1"/>
  <c r="AG92" i="1" s="1"/>
  <c r="I91" i="24" s="1"/>
  <c r="AF93" i="1"/>
  <c r="AG93" i="1" s="1"/>
  <c r="I92" i="24" s="1"/>
  <c r="AF94" i="1"/>
  <c r="AG94" i="1" s="1"/>
  <c r="I93" i="24" s="1"/>
  <c r="AF95" i="1"/>
  <c r="AG95" i="1" s="1"/>
  <c r="I94" i="24" s="1"/>
  <c r="AF96" i="1"/>
  <c r="AG96" i="1" s="1"/>
  <c r="I95" i="24" s="1"/>
  <c r="AF97" i="1"/>
  <c r="AG97" i="1" s="1"/>
  <c r="I96" i="24" s="1"/>
  <c r="AF98" i="1"/>
  <c r="AG98" i="1" s="1"/>
  <c r="I97" i="24" s="1"/>
  <c r="AF99" i="1"/>
  <c r="AG99" i="1" s="1"/>
  <c r="I98" i="24" s="1"/>
  <c r="AF100" i="1"/>
  <c r="AG100" i="1" s="1"/>
  <c r="I99" i="24" s="1"/>
  <c r="AF101" i="1"/>
  <c r="AG101" i="1" s="1"/>
  <c r="I100" i="24" s="1"/>
  <c r="AF102" i="1"/>
  <c r="AG102" i="1" s="1"/>
  <c r="I101" i="24" s="1"/>
  <c r="AF103" i="1"/>
  <c r="AG103" i="1" s="1"/>
  <c r="I102" i="24" s="1"/>
  <c r="AF104" i="1"/>
  <c r="AG104" i="1" s="1"/>
  <c r="I103" i="24" s="1"/>
  <c r="AF105" i="1"/>
  <c r="AG105" i="1" s="1"/>
  <c r="I104" i="24" s="1"/>
  <c r="AF106" i="1"/>
  <c r="AG106" i="1" s="1"/>
  <c r="I105" i="24" s="1"/>
  <c r="AF107" i="1"/>
  <c r="AG107" i="1" s="1"/>
  <c r="I106" i="24" s="1"/>
  <c r="AF108" i="1"/>
  <c r="AG108" i="1" s="1"/>
  <c r="I107" i="24" s="1"/>
  <c r="AF109" i="1"/>
  <c r="AG109" i="1" s="1"/>
  <c r="I108" i="24" s="1"/>
  <c r="AF110" i="1"/>
  <c r="AG110" i="1" s="1"/>
  <c r="I109" i="24" s="1"/>
  <c r="AF111" i="1"/>
  <c r="AG111" i="1" s="1"/>
  <c r="I110" i="24" s="1"/>
  <c r="AF112" i="1"/>
  <c r="AG112" i="1" s="1"/>
  <c r="I111" i="24" s="1"/>
  <c r="AF113" i="1"/>
  <c r="AG113" i="1" s="1"/>
  <c r="I112" i="24" s="1"/>
  <c r="AF114" i="1"/>
  <c r="AG114" i="1" s="1"/>
  <c r="I113" i="24" s="1"/>
  <c r="AF115" i="1"/>
  <c r="AG115" i="1" s="1"/>
  <c r="I114" i="24" s="1"/>
  <c r="AF116" i="1"/>
  <c r="AG116" i="1" s="1"/>
  <c r="I115" i="24" s="1"/>
  <c r="AF117" i="1"/>
  <c r="AG117" i="1" s="1"/>
  <c r="I116" i="24" s="1"/>
  <c r="AF118" i="1"/>
  <c r="AG118" i="1" s="1"/>
  <c r="I117" i="24" s="1"/>
  <c r="AF119" i="1"/>
  <c r="AG119" i="1" s="1"/>
  <c r="I118" i="24" s="1"/>
  <c r="AF120" i="1"/>
  <c r="AG120" i="1" s="1"/>
  <c r="I119" i="24" s="1"/>
  <c r="AF121" i="1"/>
  <c r="AG121" i="1" s="1"/>
  <c r="I120" i="24" s="1"/>
  <c r="AF122" i="1"/>
  <c r="AG122" i="1" s="1"/>
  <c r="I121" i="24" s="1"/>
  <c r="AF123" i="1"/>
  <c r="AG123" i="1" s="1"/>
  <c r="I122" i="24" s="1"/>
  <c r="AF124" i="1"/>
  <c r="AG124" i="1" s="1"/>
  <c r="I123" i="24" s="1"/>
  <c r="AF125" i="1"/>
  <c r="AG125" i="1" s="1"/>
  <c r="I124" i="24" s="1"/>
  <c r="AF6" i="1"/>
  <c r="AG6" i="1" s="1"/>
  <c r="I5" i="24" s="1"/>
  <c r="AF7" i="2"/>
  <c r="AG7" i="2" s="1"/>
  <c r="I7" i="22" s="1"/>
  <c r="AF8" i="2"/>
  <c r="AG8" i="2" s="1"/>
  <c r="I8" i="22" s="1"/>
  <c r="AF9" i="2"/>
  <c r="AG9" i="2" s="1"/>
  <c r="I9" i="22" s="1"/>
  <c r="AF10" i="2"/>
  <c r="AG10" i="2" s="1"/>
  <c r="I10" i="22" s="1"/>
  <c r="AF11" i="2"/>
  <c r="AG11" i="2" s="1"/>
  <c r="I11" i="22" s="1"/>
  <c r="AF12" i="2"/>
  <c r="AG12" i="2" s="1"/>
  <c r="I12" i="22" s="1"/>
  <c r="AF13" i="2"/>
  <c r="AG13" i="2" s="1"/>
  <c r="I13" i="22" s="1"/>
  <c r="AF14" i="2"/>
  <c r="AG14" i="2" s="1"/>
  <c r="I14" i="22" s="1"/>
  <c r="AF15" i="2"/>
  <c r="AG15" i="2" s="1"/>
  <c r="I15" i="22" s="1"/>
  <c r="AF16" i="2"/>
  <c r="AG16" i="2" s="1"/>
  <c r="I16" i="22" s="1"/>
  <c r="AF17" i="2"/>
  <c r="AG17" i="2" s="1"/>
  <c r="I17" i="22" s="1"/>
  <c r="AF18" i="2"/>
  <c r="AG18" i="2" s="1"/>
  <c r="I18" i="22" s="1"/>
  <c r="AF19" i="2"/>
  <c r="AG19" i="2" s="1"/>
  <c r="I19" i="22" s="1"/>
  <c r="AF20" i="2"/>
  <c r="AG20" i="2" s="1"/>
  <c r="I20" i="22" s="1"/>
  <c r="AF21" i="2"/>
  <c r="AG21" i="2" s="1"/>
  <c r="I21" i="22" s="1"/>
  <c r="AF22" i="2"/>
  <c r="AG22" i="2" s="1"/>
  <c r="I22" i="22" s="1"/>
  <c r="AF23" i="2"/>
  <c r="AG23" i="2" s="1"/>
  <c r="I23" i="22" s="1"/>
  <c r="AF24" i="2"/>
  <c r="AG24" i="2" s="1"/>
  <c r="I24" i="22" s="1"/>
  <c r="AF25" i="2"/>
  <c r="AG25" i="2" s="1"/>
  <c r="I25" i="22" s="1"/>
  <c r="AF26" i="2"/>
  <c r="AG26" i="2" s="1"/>
  <c r="I26" i="22" s="1"/>
  <c r="AF27" i="2"/>
  <c r="AG27" i="2" s="1"/>
  <c r="I27" i="22" s="1"/>
  <c r="AF28" i="2"/>
  <c r="AG28" i="2" s="1"/>
  <c r="I28" i="22" s="1"/>
  <c r="AF29" i="2"/>
  <c r="AG29" i="2" s="1"/>
  <c r="I29" i="22" s="1"/>
  <c r="AF30" i="2"/>
  <c r="AG30" i="2" s="1"/>
  <c r="I30" i="22" s="1"/>
  <c r="AF31" i="2"/>
  <c r="AG31" i="2" s="1"/>
  <c r="I31" i="22" s="1"/>
  <c r="AF32" i="2"/>
  <c r="AG32" i="2" s="1"/>
  <c r="I32" i="22" s="1"/>
  <c r="AF33" i="2"/>
  <c r="AG33" i="2" s="1"/>
  <c r="I33" i="22" s="1"/>
  <c r="AF34" i="2"/>
  <c r="AG34" i="2" s="1"/>
  <c r="I34" i="22" s="1"/>
  <c r="AF35" i="2"/>
  <c r="AG35" i="2" s="1"/>
  <c r="I35" i="22" s="1"/>
  <c r="AF36" i="2"/>
  <c r="AG36" i="2" s="1"/>
  <c r="I36" i="22" s="1"/>
  <c r="AF37" i="2"/>
  <c r="AG37" i="2" s="1"/>
  <c r="I37" i="22" s="1"/>
  <c r="AF38" i="2"/>
  <c r="AG38" i="2" s="1"/>
  <c r="I38" i="22" s="1"/>
  <c r="AF39" i="2"/>
  <c r="AG39" i="2" s="1"/>
  <c r="I39" i="22" s="1"/>
  <c r="AF40" i="2"/>
  <c r="AG40" i="2" s="1"/>
  <c r="I40" i="22" s="1"/>
  <c r="AF41" i="2"/>
  <c r="AG41" i="2" s="1"/>
  <c r="I41" i="22" s="1"/>
  <c r="AF42" i="2"/>
  <c r="AG42" i="2" s="1"/>
  <c r="I42" i="22" s="1"/>
  <c r="AF43" i="2"/>
  <c r="AG43" i="2" s="1"/>
  <c r="I43" i="22" s="1"/>
  <c r="AF44" i="2"/>
  <c r="AG44" i="2" s="1"/>
  <c r="I44" i="22" s="1"/>
  <c r="AF45" i="2"/>
  <c r="AG45" i="2" s="1"/>
  <c r="I45" i="22" s="1"/>
  <c r="AF46" i="2"/>
  <c r="AG46" i="2" s="1"/>
  <c r="I46" i="22" s="1"/>
  <c r="AF47" i="2"/>
  <c r="AG47" i="2" s="1"/>
  <c r="I47" i="22" s="1"/>
  <c r="AF48" i="2"/>
  <c r="AG48" i="2" s="1"/>
  <c r="I48" i="22" s="1"/>
  <c r="AF49" i="2"/>
  <c r="AG49" i="2" s="1"/>
  <c r="I49" i="22" s="1"/>
  <c r="AF50" i="2"/>
  <c r="AG50" i="2" s="1"/>
  <c r="I50" i="22" s="1"/>
  <c r="AF51" i="2"/>
  <c r="AG51" i="2" s="1"/>
  <c r="I51" i="22" s="1"/>
  <c r="AF52" i="2"/>
  <c r="AG52" i="2" s="1"/>
  <c r="I52" i="22" s="1"/>
  <c r="AF53" i="2"/>
  <c r="AG53" i="2" s="1"/>
  <c r="I53" i="22" s="1"/>
  <c r="AF54" i="2"/>
  <c r="AG54" i="2" s="1"/>
  <c r="I54" i="22" s="1"/>
  <c r="AF55" i="2"/>
  <c r="AG55" i="2" s="1"/>
  <c r="I55" i="22" s="1"/>
  <c r="AF56" i="2"/>
  <c r="AG56" i="2" s="1"/>
  <c r="I56" i="22" s="1"/>
  <c r="AF57" i="2"/>
  <c r="AG57" i="2" s="1"/>
  <c r="I57" i="22" s="1"/>
  <c r="AF58" i="2"/>
  <c r="AG58" i="2" s="1"/>
  <c r="I58" i="22" s="1"/>
  <c r="AF59" i="2"/>
  <c r="AG59" i="2" s="1"/>
  <c r="I59" i="22" s="1"/>
  <c r="AF60" i="2"/>
  <c r="AG60" i="2" s="1"/>
  <c r="I60" i="22" s="1"/>
  <c r="AF61" i="2"/>
  <c r="AG61" i="2" s="1"/>
  <c r="I61" i="22" s="1"/>
  <c r="AF62" i="2"/>
  <c r="AG62" i="2" s="1"/>
  <c r="I62" i="22" s="1"/>
  <c r="AF63" i="2"/>
  <c r="AG63" i="2" s="1"/>
  <c r="I63" i="22" s="1"/>
  <c r="AF64" i="2"/>
  <c r="AG64" i="2" s="1"/>
  <c r="I64" i="22" s="1"/>
  <c r="AF65" i="2"/>
  <c r="AG65" i="2" s="1"/>
  <c r="I65" i="22" s="1"/>
  <c r="AF66" i="2"/>
  <c r="AG66" i="2" s="1"/>
  <c r="I66" i="22" s="1"/>
  <c r="AF67" i="2"/>
  <c r="AG67" i="2" s="1"/>
  <c r="I67" i="22" s="1"/>
  <c r="AF68" i="2"/>
  <c r="AG68" i="2" s="1"/>
  <c r="I68" i="22" s="1"/>
  <c r="AF69" i="2"/>
  <c r="AG69" i="2" s="1"/>
  <c r="I69" i="22" s="1"/>
  <c r="AF70" i="2"/>
  <c r="AG70" i="2" s="1"/>
  <c r="I70" i="22" s="1"/>
  <c r="AF71" i="2"/>
  <c r="AG71" i="2" s="1"/>
  <c r="I71" i="22" s="1"/>
  <c r="AF72" i="2"/>
  <c r="AG72" i="2" s="1"/>
  <c r="I72" i="22" s="1"/>
  <c r="AF73" i="2"/>
  <c r="AG73" i="2" s="1"/>
  <c r="I73" i="22" s="1"/>
  <c r="AF74" i="2"/>
  <c r="AG74" i="2" s="1"/>
  <c r="I74" i="22" s="1"/>
  <c r="AF75" i="2"/>
  <c r="AG75" i="2" s="1"/>
  <c r="I75" i="22" s="1"/>
  <c r="AF76" i="2"/>
  <c r="AG76" i="2" s="1"/>
  <c r="I76" i="22" s="1"/>
  <c r="AF77" i="2"/>
  <c r="AG77" i="2" s="1"/>
  <c r="I77" i="22" s="1"/>
  <c r="AF78" i="2"/>
  <c r="AG78" i="2" s="1"/>
  <c r="I78" i="22" s="1"/>
  <c r="AF79" i="2"/>
  <c r="AG79" i="2" s="1"/>
  <c r="I79" i="22" s="1"/>
  <c r="AF80" i="2"/>
  <c r="AG80" i="2" s="1"/>
  <c r="I80" i="22" s="1"/>
  <c r="AF81" i="2"/>
  <c r="AG81" i="2" s="1"/>
  <c r="I81" i="22" s="1"/>
  <c r="AF82" i="2"/>
  <c r="AG82" i="2" s="1"/>
  <c r="I82" i="22" s="1"/>
  <c r="AF83" i="2"/>
  <c r="AG83" i="2" s="1"/>
  <c r="I83" i="22" s="1"/>
  <c r="AF84" i="2"/>
  <c r="AG84" i="2" s="1"/>
  <c r="I84" i="22" s="1"/>
  <c r="AF85" i="2"/>
  <c r="AG85" i="2" s="1"/>
  <c r="I85" i="22" s="1"/>
  <c r="AF86" i="2"/>
  <c r="AG86" i="2" s="1"/>
  <c r="I86" i="22" s="1"/>
  <c r="AF87" i="2"/>
  <c r="AG87" i="2" s="1"/>
  <c r="I87" i="22" s="1"/>
  <c r="AF88" i="2"/>
  <c r="AG88" i="2" s="1"/>
  <c r="I88" i="22" s="1"/>
  <c r="AF89" i="2"/>
  <c r="AG89" i="2" s="1"/>
  <c r="I89" i="22" s="1"/>
  <c r="AF90" i="2"/>
  <c r="AG90" i="2" s="1"/>
  <c r="I90" i="22" s="1"/>
  <c r="AF91" i="2"/>
  <c r="AG91" i="2" s="1"/>
  <c r="I91" i="22" s="1"/>
  <c r="AF92" i="2"/>
  <c r="AG92" i="2" s="1"/>
  <c r="I92" i="22" s="1"/>
  <c r="AF93" i="2"/>
  <c r="AG93" i="2" s="1"/>
  <c r="I93" i="22" s="1"/>
  <c r="AF94" i="2"/>
  <c r="AG94" i="2" s="1"/>
  <c r="I94" i="22" s="1"/>
  <c r="AF95" i="2"/>
  <c r="AG95" i="2" s="1"/>
  <c r="I95" i="22" s="1"/>
  <c r="AF96" i="2"/>
  <c r="AG96" i="2" s="1"/>
  <c r="I96" i="22" s="1"/>
  <c r="AF97" i="2"/>
  <c r="AG97" i="2" s="1"/>
  <c r="I97" i="22" s="1"/>
  <c r="AF98" i="2"/>
  <c r="AG98" i="2" s="1"/>
  <c r="I98" i="22" s="1"/>
  <c r="AF99" i="2"/>
  <c r="AG99" i="2" s="1"/>
  <c r="I99" i="22" s="1"/>
  <c r="AF100" i="2"/>
  <c r="AG100" i="2" s="1"/>
  <c r="I100" i="22" s="1"/>
  <c r="AF101" i="2"/>
  <c r="AG101" i="2" s="1"/>
  <c r="I101" i="22" s="1"/>
  <c r="AF102" i="2"/>
  <c r="AG102" i="2" s="1"/>
  <c r="I102" i="22" s="1"/>
  <c r="AF103" i="2"/>
  <c r="AG103" i="2" s="1"/>
  <c r="I103" i="22" s="1"/>
  <c r="AF104" i="2"/>
  <c r="AG104" i="2" s="1"/>
  <c r="I104" i="22" s="1"/>
  <c r="AF105" i="2"/>
  <c r="AG105" i="2" s="1"/>
  <c r="I105" i="22" s="1"/>
  <c r="AF106" i="2"/>
  <c r="AG106" i="2" s="1"/>
  <c r="I106" i="22" s="1"/>
  <c r="AF107" i="2"/>
  <c r="AG107" i="2" s="1"/>
  <c r="I107" i="22" s="1"/>
  <c r="AF108" i="2"/>
  <c r="AG108" i="2" s="1"/>
  <c r="I108" i="22" s="1"/>
  <c r="AF109" i="2"/>
  <c r="AG109" i="2" s="1"/>
  <c r="I109" i="22" s="1"/>
  <c r="AF110" i="2"/>
  <c r="AG110" i="2" s="1"/>
  <c r="I110" i="22" s="1"/>
  <c r="AF111" i="2"/>
  <c r="AG111" i="2" s="1"/>
  <c r="I111" i="22" s="1"/>
  <c r="AF112" i="2"/>
  <c r="AG112" i="2" s="1"/>
  <c r="I112" i="22" s="1"/>
  <c r="AF113" i="2"/>
  <c r="AG113" i="2" s="1"/>
  <c r="I113" i="22" s="1"/>
  <c r="AF114" i="2"/>
  <c r="AG114" i="2" s="1"/>
  <c r="I114" i="22" s="1"/>
  <c r="AF115" i="2"/>
  <c r="AG115" i="2" s="1"/>
  <c r="I115" i="22" s="1"/>
  <c r="AF116" i="2"/>
  <c r="AG116" i="2" s="1"/>
  <c r="I116" i="22" s="1"/>
  <c r="AF117" i="2"/>
  <c r="AG117" i="2" s="1"/>
  <c r="I117" i="22" s="1"/>
  <c r="AF118" i="2"/>
  <c r="AG118" i="2" s="1"/>
  <c r="I118" i="22" s="1"/>
  <c r="AF119" i="2"/>
  <c r="AG119" i="2" s="1"/>
  <c r="I119" i="22" s="1"/>
  <c r="AF120" i="2"/>
  <c r="AG120" i="2" s="1"/>
  <c r="I120" i="22" s="1"/>
  <c r="AF121" i="2"/>
  <c r="AG121" i="2" s="1"/>
  <c r="I121" i="22" s="1"/>
  <c r="AF122" i="2"/>
  <c r="AG122" i="2" s="1"/>
  <c r="I122" i="22" s="1"/>
  <c r="AF123" i="2"/>
  <c r="AG123" i="2" s="1"/>
  <c r="I123" i="22" s="1"/>
  <c r="AF124" i="2"/>
  <c r="AG124" i="2" s="1"/>
  <c r="I124" i="22" s="1"/>
  <c r="AF125" i="2"/>
  <c r="AG125" i="2" s="1"/>
  <c r="I125" i="22" s="1"/>
  <c r="AF6" i="2"/>
  <c r="AG6" i="2" s="1"/>
  <c r="I6" i="22" s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2" i="1"/>
  <c r="BC123" i="1"/>
  <c r="BC124" i="1"/>
  <c r="BC125" i="1"/>
  <c r="BC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2" i="1"/>
  <c r="BA123" i="1"/>
  <c r="BA124" i="1"/>
  <c r="BA125" i="1"/>
  <c r="BA6" i="1"/>
  <c r="BC7" i="2"/>
  <c r="BC8" i="2"/>
  <c r="BC9" i="2"/>
  <c r="BC10" i="2"/>
  <c r="BC11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D105" i="2" s="1"/>
  <c r="BE105" i="2" s="1"/>
  <c r="BC106" i="2"/>
  <c r="BC107" i="2"/>
  <c r="BC108" i="2"/>
  <c r="BC109" i="2"/>
  <c r="BC110" i="2"/>
  <c r="BC111" i="2"/>
  <c r="BC112" i="2"/>
  <c r="BC113" i="2"/>
  <c r="BC114" i="2"/>
  <c r="BC115" i="2"/>
  <c r="BC116" i="2"/>
  <c r="BC117" i="2"/>
  <c r="BC118" i="2"/>
  <c r="BC119" i="2"/>
  <c r="BC120" i="2"/>
  <c r="BC121" i="2"/>
  <c r="BC122" i="2"/>
  <c r="BC123" i="2"/>
  <c r="BC124" i="2"/>
  <c r="BC125" i="2"/>
  <c r="BC6" i="2"/>
  <c r="BA7" i="2"/>
  <c r="BA8" i="2"/>
  <c r="BA9" i="2"/>
  <c r="BA10" i="2"/>
  <c r="BA11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6" i="2"/>
  <c r="Q7" i="2"/>
  <c r="E7" i="22" s="1"/>
  <c r="Q8" i="2"/>
  <c r="E8" i="22" s="1"/>
  <c r="G6" i="7"/>
  <c r="G7" i="7"/>
  <c r="G8" i="7"/>
  <c r="G9" i="7"/>
  <c r="G10" i="7"/>
  <c r="G11" i="7"/>
  <c r="G5" i="7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2" i="1"/>
  <c r="AZ123" i="1"/>
  <c r="AZ124" i="1"/>
  <c r="AZ125" i="1"/>
  <c r="AZ6" i="1"/>
  <c r="AZ7" i="2"/>
  <c r="AZ8" i="2"/>
  <c r="AZ9" i="2"/>
  <c r="AZ10" i="2"/>
  <c r="AZ11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6" i="2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2" i="1"/>
  <c r="AY123" i="1"/>
  <c r="AY124" i="1"/>
  <c r="AY125" i="1"/>
  <c r="AY6" i="1"/>
  <c r="AY7" i="2"/>
  <c r="AY8" i="2"/>
  <c r="AY9" i="2"/>
  <c r="AY10" i="2"/>
  <c r="AY11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5" i="2"/>
  <c r="AY96" i="2"/>
  <c r="AY97" i="2"/>
  <c r="AY98" i="2"/>
  <c r="AY99" i="2"/>
  <c r="AY100" i="2"/>
  <c r="AY101" i="2"/>
  <c r="AY102" i="2"/>
  <c r="AY103" i="2"/>
  <c r="AY104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6" i="2"/>
  <c r="BD11" i="1" l="1"/>
  <c r="BE11" i="1" s="1"/>
  <c r="M10" i="24" s="1"/>
  <c r="BJ1048576" i="26"/>
  <c r="BR11" i="1"/>
  <c r="BR12" i="2"/>
  <c r="BR105" i="2"/>
  <c r="BD7" i="1"/>
  <c r="BE7" i="1" s="1"/>
  <c r="BD48" i="1"/>
  <c r="BE48" i="1" s="1"/>
  <c r="BD118" i="1"/>
  <c r="BE118" i="1" s="1"/>
  <c r="BD110" i="1"/>
  <c r="BE110" i="1" s="1"/>
  <c r="BD102" i="1"/>
  <c r="BE102" i="1" s="1"/>
  <c r="BD94" i="1"/>
  <c r="BE94" i="1" s="1"/>
  <c r="BD86" i="1"/>
  <c r="BE86" i="1" s="1"/>
  <c r="BD78" i="1"/>
  <c r="BE78" i="1" s="1"/>
  <c r="BD70" i="1"/>
  <c r="BE70" i="1" s="1"/>
  <c r="BD62" i="1"/>
  <c r="BE62" i="1" s="1"/>
  <c r="BD54" i="1"/>
  <c r="BE54" i="1" s="1"/>
  <c r="BD46" i="1"/>
  <c r="BE46" i="1" s="1"/>
  <c r="BD38" i="1"/>
  <c r="BE38" i="1" s="1"/>
  <c r="BD30" i="1"/>
  <c r="BE30" i="1" s="1"/>
  <c r="BD26" i="1"/>
  <c r="BE26" i="1" s="1"/>
  <c r="M25" i="24" s="1"/>
  <c r="BD124" i="2"/>
  <c r="BE124" i="2" s="1"/>
  <c r="BD116" i="2"/>
  <c r="BE116" i="2" s="1"/>
  <c r="BD99" i="2"/>
  <c r="BE99" i="2" s="1"/>
  <c r="BD90" i="2"/>
  <c r="BE90" i="2" s="1"/>
  <c r="BD82" i="2"/>
  <c r="BE82" i="2" s="1"/>
  <c r="BD74" i="2"/>
  <c r="BE74" i="2" s="1"/>
  <c r="BD66" i="2"/>
  <c r="BE66" i="2" s="1"/>
  <c r="BD25" i="2"/>
  <c r="BE25" i="2" s="1"/>
  <c r="BD17" i="2"/>
  <c r="BE17" i="2" s="1"/>
  <c r="BD8" i="2"/>
  <c r="BE8" i="2" s="1"/>
  <c r="BD110" i="2"/>
  <c r="BE110" i="2" s="1"/>
  <c r="BD123" i="2"/>
  <c r="BE123" i="2" s="1"/>
  <c r="BD115" i="2"/>
  <c r="BE115" i="2" s="1"/>
  <c r="BD107" i="2"/>
  <c r="BE107" i="2" s="1"/>
  <c r="BD98" i="2"/>
  <c r="BE98" i="2" s="1"/>
  <c r="BD115" i="1"/>
  <c r="BE115" i="1" s="1"/>
  <c r="BD107" i="1"/>
  <c r="BE107" i="1" s="1"/>
  <c r="BD99" i="1"/>
  <c r="BE99" i="1" s="1"/>
  <c r="BD91" i="1"/>
  <c r="BE91" i="1" s="1"/>
  <c r="BD75" i="1"/>
  <c r="BE75" i="1" s="1"/>
  <c r="BD67" i="1"/>
  <c r="BE67" i="1" s="1"/>
  <c r="BD51" i="1"/>
  <c r="BE51" i="1" s="1"/>
  <c r="BD35" i="1"/>
  <c r="BE35" i="1" s="1"/>
  <c r="BD27" i="1"/>
  <c r="BE27" i="1" s="1"/>
  <c r="BD100" i="2"/>
  <c r="BE100" i="2" s="1"/>
  <c r="BD50" i="2"/>
  <c r="BE50" i="2" s="1"/>
  <c r="BD42" i="2"/>
  <c r="BE42" i="2" s="1"/>
  <c r="BD34" i="2"/>
  <c r="BE34" i="2" s="1"/>
  <c r="BD26" i="2"/>
  <c r="BE26" i="2" s="1"/>
  <c r="BD18" i="2"/>
  <c r="BE18" i="2" s="1"/>
  <c r="BD9" i="2"/>
  <c r="BE9" i="2" s="1"/>
  <c r="BD65" i="2"/>
  <c r="BE65" i="2" s="1"/>
  <c r="BD41" i="2"/>
  <c r="BE41" i="2" s="1"/>
  <c r="BD7" i="2"/>
  <c r="BE7" i="2" s="1"/>
  <c r="BD16" i="2"/>
  <c r="BE16" i="2" s="1"/>
  <c r="BD57" i="2"/>
  <c r="BE57" i="2" s="1"/>
  <c r="BD33" i="2"/>
  <c r="BE33" i="2" s="1"/>
  <c r="BD24" i="2"/>
  <c r="BE24" i="2" s="1"/>
  <c r="BD23" i="2"/>
  <c r="BE23" i="2" s="1"/>
  <c r="BD120" i="2"/>
  <c r="BE120" i="2" s="1"/>
  <c r="BD37" i="2"/>
  <c r="BE37" i="2" s="1"/>
  <c r="BD97" i="2"/>
  <c r="BE97" i="2" s="1"/>
  <c r="BD15" i="2"/>
  <c r="BE15" i="2" s="1"/>
  <c r="BD122" i="2"/>
  <c r="BE122" i="2" s="1"/>
  <c r="BD31" i="2"/>
  <c r="BE31" i="2" s="1"/>
  <c r="BD16" i="1"/>
  <c r="BE16" i="1" s="1"/>
  <c r="BD71" i="1"/>
  <c r="BE71" i="1" s="1"/>
  <c r="BD47" i="1"/>
  <c r="BE47" i="1" s="1"/>
  <c r="BD120" i="1"/>
  <c r="BE120" i="1" s="1"/>
  <c r="BD112" i="1"/>
  <c r="BE112" i="1" s="1"/>
  <c r="BD104" i="1"/>
  <c r="BE104" i="1" s="1"/>
  <c r="BD96" i="1"/>
  <c r="BE96" i="1" s="1"/>
  <c r="BD88" i="1"/>
  <c r="BE88" i="1" s="1"/>
  <c r="BD80" i="1"/>
  <c r="BE80" i="1" s="1"/>
  <c r="BD72" i="1"/>
  <c r="BE72" i="1" s="1"/>
  <c r="BD64" i="1"/>
  <c r="BE64" i="1" s="1"/>
  <c r="BD56" i="1"/>
  <c r="BE56" i="1" s="1"/>
  <c r="BD40" i="1"/>
  <c r="BE40" i="1" s="1"/>
  <c r="BD32" i="1"/>
  <c r="BE32" i="1" s="1"/>
  <c r="BD23" i="1"/>
  <c r="BE23" i="1" s="1"/>
  <c r="BD15" i="1"/>
  <c r="BE15" i="1" s="1"/>
  <c r="BD125" i="1"/>
  <c r="BE125" i="1" s="1"/>
  <c r="BD19" i="1"/>
  <c r="BE19" i="1" s="1"/>
  <c r="BD103" i="1"/>
  <c r="BE103" i="1" s="1"/>
  <c r="BD21" i="1"/>
  <c r="BE21" i="1" s="1"/>
  <c r="BD6" i="1"/>
  <c r="BE6" i="1" s="1"/>
  <c r="BD111" i="1"/>
  <c r="BE111" i="1" s="1"/>
  <c r="BD87" i="1"/>
  <c r="BE87" i="1" s="1"/>
  <c r="BD39" i="1"/>
  <c r="BE39" i="1" s="1"/>
  <c r="BD123" i="1"/>
  <c r="BE123" i="1" s="1"/>
  <c r="BR121" i="1"/>
  <c r="BD14" i="1"/>
  <c r="BE14" i="1" s="1"/>
  <c r="BD13" i="1"/>
  <c r="BE13" i="1" s="1"/>
  <c r="BD24" i="1"/>
  <c r="BE24" i="1" s="1"/>
  <c r="BD8" i="1"/>
  <c r="BE8" i="1" s="1"/>
  <c r="BD79" i="1"/>
  <c r="BE79" i="1" s="1"/>
  <c r="BD55" i="1"/>
  <c r="BE55" i="1" s="1"/>
  <c r="BD59" i="1"/>
  <c r="BE59" i="1" s="1"/>
  <c r="BD101" i="1"/>
  <c r="BE101" i="1" s="1"/>
  <c r="BD22" i="1"/>
  <c r="BE22" i="1" s="1"/>
  <c r="BD119" i="1"/>
  <c r="BE119" i="1" s="1"/>
  <c r="BD95" i="1"/>
  <c r="BE95" i="1" s="1"/>
  <c r="BD63" i="1"/>
  <c r="BE63" i="1" s="1"/>
  <c r="BD31" i="1"/>
  <c r="BE31" i="1" s="1"/>
  <c r="BD83" i="1"/>
  <c r="BE83" i="1" s="1"/>
  <c r="BD43" i="1"/>
  <c r="BE43" i="1" s="1"/>
  <c r="BD109" i="1"/>
  <c r="BE109" i="1" s="1"/>
  <c r="BD69" i="1"/>
  <c r="BE69" i="1" s="1"/>
  <c r="BD37" i="1"/>
  <c r="BE37" i="1" s="1"/>
  <c r="BD28" i="1"/>
  <c r="BE28" i="1" s="1"/>
  <c r="BD93" i="1"/>
  <c r="BE93" i="1" s="1"/>
  <c r="BD61" i="1"/>
  <c r="BE61" i="1" s="1"/>
  <c r="BD53" i="1"/>
  <c r="BE53" i="1" s="1"/>
  <c r="BD45" i="1"/>
  <c r="BE45" i="1" s="1"/>
  <c r="BD29" i="1"/>
  <c r="BE29" i="1" s="1"/>
  <c r="BD108" i="1"/>
  <c r="BE108" i="1" s="1"/>
  <c r="BD92" i="1"/>
  <c r="BE92" i="1" s="1"/>
  <c r="BD68" i="1"/>
  <c r="BE68" i="1" s="1"/>
  <c r="BD44" i="1"/>
  <c r="BE44" i="1" s="1"/>
  <c r="BD36" i="1"/>
  <c r="BE36" i="1" s="1"/>
  <c r="BD114" i="1"/>
  <c r="BE114" i="1" s="1"/>
  <c r="BD98" i="1"/>
  <c r="BE98" i="1" s="1"/>
  <c r="BD82" i="1"/>
  <c r="BE82" i="1" s="1"/>
  <c r="BD66" i="1"/>
  <c r="BE66" i="1" s="1"/>
  <c r="BD50" i="1"/>
  <c r="BE50" i="1" s="1"/>
  <c r="BD113" i="1"/>
  <c r="BE113" i="1" s="1"/>
  <c r="BD105" i="1"/>
  <c r="BE105" i="1" s="1"/>
  <c r="BD97" i="1"/>
  <c r="BE97" i="1" s="1"/>
  <c r="BD89" i="1"/>
  <c r="BE89" i="1" s="1"/>
  <c r="BD81" i="1"/>
  <c r="BE81" i="1" s="1"/>
  <c r="BD73" i="1"/>
  <c r="BE73" i="1" s="1"/>
  <c r="BD65" i="1"/>
  <c r="BE65" i="1" s="1"/>
  <c r="BD57" i="1"/>
  <c r="BE57" i="1" s="1"/>
  <c r="BD49" i="1"/>
  <c r="BE49" i="1" s="1"/>
  <c r="BD41" i="1"/>
  <c r="BE41" i="1" s="1"/>
  <c r="BD33" i="1"/>
  <c r="BE33" i="1" s="1"/>
  <c r="BD25" i="1"/>
  <c r="BE25" i="1" s="1"/>
  <c r="BD17" i="1"/>
  <c r="BE17" i="1" s="1"/>
  <c r="BD9" i="1"/>
  <c r="BE9" i="1" s="1"/>
  <c r="BD85" i="1"/>
  <c r="BE85" i="1" s="1"/>
  <c r="BD124" i="1"/>
  <c r="BE124" i="1" s="1"/>
  <c r="BD100" i="1"/>
  <c r="BE100" i="1" s="1"/>
  <c r="BD76" i="1"/>
  <c r="BE76" i="1" s="1"/>
  <c r="BD52" i="1"/>
  <c r="BE52" i="1" s="1"/>
  <c r="BD12" i="1"/>
  <c r="BE12" i="1" s="1"/>
  <c r="BD122" i="1"/>
  <c r="BE122" i="1" s="1"/>
  <c r="BD106" i="1"/>
  <c r="BE106" i="1" s="1"/>
  <c r="BD90" i="1"/>
  <c r="BE90" i="1" s="1"/>
  <c r="BD74" i="1"/>
  <c r="BE74" i="1" s="1"/>
  <c r="BD58" i="1"/>
  <c r="BE58" i="1" s="1"/>
  <c r="BD42" i="1"/>
  <c r="BE42" i="1" s="1"/>
  <c r="BD34" i="1"/>
  <c r="BE34" i="1" s="1"/>
  <c r="BD18" i="1"/>
  <c r="BE18" i="1" s="1"/>
  <c r="BD117" i="1"/>
  <c r="BE117" i="1" s="1"/>
  <c r="BD77" i="1"/>
  <c r="BE77" i="1" s="1"/>
  <c r="BD116" i="1"/>
  <c r="BE116" i="1" s="1"/>
  <c r="BD84" i="1"/>
  <c r="BE84" i="1" s="1"/>
  <c r="BD60" i="1"/>
  <c r="BE60" i="1" s="1"/>
  <c r="BD20" i="1"/>
  <c r="BE20" i="1" s="1"/>
  <c r="BD10" i="1"/>
  <c r="BE10" i="1" s="1"/>
  <c r="BD125" i="2"/>
  <c r="BE125" i="2" s="1"/>
  <c r="BD117" i="2"/>
  <c r="BE117" i="2" s="1"/>
  <c r="BD109" i="2"/>
  <c r="BE109" i="2" s="1"/>
  <c r="BD94" i="2"/>
  <c r="BE94" i="2" s="1"/>
  <c r="BD89" i="2"/>
  <c r="BE89" i="2" s="1"/>
  <c r="BD81" i="2"/>
  <c r="BE81" i="2" s="1"/>
  <c r="BD73" i="2"/>
  <c r="BE73" i="2" s="1"/>
  <c r="BD29" i="2"/>
  <c r="BE29" i="2" s="1"/>
  <c r="BD21" i="2"/>
  <c r="BE21" i="2" s="1"/>
  <c r="BD13" i="2"/>
  <c r="BE13" i="2" s="1"/>
  <c r="BD11" i="2"/>
  <c r="BE11" i="2" s="1"/>
  <c r="BD88" i="2"/>
  <c r="BE88" i="2" s="1"/>
  <c r="BD87" i="2"/>
  <c r="BE87" i="2" s="1"/>
  <c r="BD62" i="2"/>
  <c r="BE62" i="2" s="1"/>
  <c r="BD64" i="2"/>
  <c r="BE64" i="2" s="1"/>
  <c r="BD32" i="2"/>
  <c r="BE32" i="2" s="1"/>
  <c r="BD80" i="2"/>
  <c r="BE80" i="2" s="1"/>
  <c r="BD47" i="2"/>
  <c r="BE47" i="2" s="1"/>
  <c r="BD96" i="2"/>
  <c r="BE96" i="2" s="1"/>
  <c r="BD54" i="2"/>
  <c r="BE54" i="2" s="1"/>
  <c r="BD22" i="2"/>
  <c r="BE22" i="2" s="1"/>
  <c r="BD78" i="2"/>
  <c r="BE78" i="2" s="1"/>
  <c r="BD72" i="2"/>
  <c r="BE72" i="2" s="1"/>
  <c r="BD39" i="2"/>
  <c r="BE39" i="2" s="1"/>
  <c r="BD113" i="2"/>
  <c r="BE113" i="2" s="1"/>
  <c r="BD79" i="2"/>
  <c r="BE79" i="2" s="1"/>
  <c r="BD46" i="2"/>
  <c r="BE46" i="2" s="1"/>
  <c r="BD14" i="2"/>
  <c r="BE14" i="2" s="1"/>
  <c r="BD112" i="2"/>
  <c r="BE112" i="2" s="1"/>
  <c r="BD95" i="2"/>
  <c r="BE95" i="2" s="1"/>
  <c r="BD61" i="2"/>
  <c r="BE61" i="2" s="1"/>
  <c r="BD119" i="2"/>
  <c r="BE119" i="2" s="1"/>
  <c r="BD102" i="2"/>
  <c r="BE102" i="2" s="1"/>
  <c r="BD85" i="2"/>
  <c r="BE85" i="2" s="1"/>
  <c r="BD69" i="2"/>
  <c r="BE69" i="2" s="1"/>
  <c r="BD52" i="2"/>
  <c r="BE52" i="2" s="1"/>
  <c r="BD36" i="2"/>
  <c r="BE36" i="2" s="1"/>
  <c r="BD20" i="2"/>
  <c r="BE20" i="2" s="1"/>
  <c r="BD56" i="2"/>
  <c r="BE56" i="2" s="1"/>
  <c r="BD91" i="2"/>
  <c r="BE91" i="2" s="1"/>
  <c r="BD83" i="2"/>
  <c r="BE83" i="2" s="1"/>
  <c r="BD75" i="2"/>
  <c r="BE75" i="2" s="1"/>
  <c r="BD67" i="2"/>
  <c r="BE67" i="2" s="1"/>
  <c r="M67" i="22" s="1"/>
  <c r="BD59" i="2"/>
  <c r="BE59" i="2" s="1"/>
  <c r="BD49" i="2"/>
  <c r="BE49" i="2" s="1"/>
  <c r="BD48" i="2"/>
  <c r="BE48" i="2" s="1"/>
  <c r="BD63" i="2"/>
  <c r="BE63" i="2" s="1"/>
  <c r="BD108" i="2"/>
  <c r="BE108" i="2" s="1"/>
  <c r="BD121" i="2"/>
  <c r="BE121" i="2" s="1"/>
  <c r="BD71" i="2"/>
  <c r="BE71" i="2" s="1"/>
  <c r="BD30" i="2"/>
  <c r="BE30" i="2" s="1"/>
  <c r="BD103" i="2"/>
  <c r="BE103" i="2" s="1"/>
  <c r="BD86" i="2"/>
  <c r="BE86" i="2" s="1"/>
  <c r="BD70" i="2"/>
  <c r="BE70" i="2" s="1"/>
  <c r="BD53" i="2"/>
  <c r="BE53" i="2" s="1"/>
  <c r="BD77" i="2"/>
  <c r="BE77" i="2" s="1"/>
  <c r="BD60" i="2"/>
  <c r="BE60" i="2" s="1"/>
  <c r="BD44" i="2"/>
  <c r="BE44" i="2" s="1"/>
  <c r="BD28" i="2"/>
  <c r="BE28" i="2" s="1"/>
  <c r="BD40" i="2"/>
  <c r="BE40" i="2" s="1"/>
  <c r="BD6" i="2"/>
  <c r="BE6" i="2" s="1"/>
  <c r="BD118" i="2"/>
  <c r="BE118" i="2" s="1"/>
  <c r="BD101" i="2"/>
  <c r="BE101" i="2" s="1"/>
  <c r="BD92" i="2"/>
  <c r="BE92" i="2" s="1"/>
  <c r="BD84" i="2"/>
  <c r="BE84" i="2" s="1"/>
  <c r="BD76" i="2"/>
  <c r="BE76" i="2" s="1"/>
  <c r="BD68" i="2"/>
  <c r="BE68" i="2" s="1"/>
  <c r="BD51" i="2"/>
  <c r="BE51" i="2" s="1"/>
  <c r="BD43" i="2"/>
  <c r="BE43" i="2" s="1"/>
  <c r="BD35" i="2"/>
  <c r="BE35" i="2" s="1"/>
  <c r="BD27" i="2"/>
  <c r="BE27" i="2" s="1"/>
  <c r="BD19" i="2"/>
  <c r="BE19" i="2" s="1"/>
  <c r="BD10" i="2"/>
  <c r="BE10" i="2" s="1"/>
  <c r="BD104" i="2"/>
  <c r="BE104" i="2" s="1"/>
  <c r="BD55" i="2"/>
  <c r="BE55" i="2" s="1"/>
  <c r="BD38" i="2"/>
  <c r="BE38" i="2" s="1"/>
  <c r="BD111" i="2"/>
  <c r="BE111" i="2" s="1"/>
  <c r="BD93" i="2"/>
  <c r="BE93" i="2" s="1"/>
  <c r="BD45" i="2"/>
  <c r="BE45" i="2" s="1"/>
  <c r="BD114" i="2"/>
  <c r="BE114" i="2" s="1"/>
  <c r="BD106" i="2"/>
  <c r="BE106" i="2" s="1"/>
  <c r="BD58" i="2"/>
  <c r="BE58" i="2" s="1"/>
  <c r="BR18" i="1" l="1"/>
  <c r="M17" i="24"/>
  <c r="BR89" i="1"/>
  <c r="M88" i="24"/>
  <c r="BR53" i="1"/>
  <c r="M52" i="24"/>
  <c r="BR55" i="1"/>
  <c r="M54" i="24"/>
  <c r="BR15" i="1"/>
  <c r="M14" i="24"/>
  <c r="BR46" i="1"/>
  <c r="M45" i="24"/>
  <c r="BR10" i="1"/>
  <c r="M9" i="24"/>
  <c r="BR52" i="1"/>
  <c r="M51" i="24"/>
  <c r="BR97" i="1"/>
  <c r="M96" i="24"/>
  <c r="BR61" i="1"/>
  <c r="M60" i="24"/>
  <c r="BR31" i="1"/>
  <c r="BS31" i="1" s="1"/>
  <c r="M30" i="24"/>
  <c r="BR87" i="1"/>
  <c r="M86" i="24"/>
  <c r="BR23" i="1"/>
  <c r="M22" i="24"/>
  <c r="BR96" i="1"/>
  <c r="M95" i="24"/>
  <c r="BR75" i="1"/>
  <c r="M74" i="24"/>
  <c r="BR54" i="1"/>
  <c r="M53" i="24"/>
  <c r="BR118" i="1"/>
  <c r="M117" i="24"/>
  <c r="BR20" i="1"/>
  <c r="M19" i="24"/>
  <c r="BR42" i="1"/>
  <c r="M41" i="24"/>
  <c r="BR76" i="1"/>
  <c r="M75" i="24"/>
  <c r="BR41" i="1"/>
  <c r="M40" i="24"/>
  <c r="BR105" i="1"/>
  <c r="M104" i="24"/>
  <c r="BR44" i="1"/>
  <c r="O43" i="24" s="1"/>
  <c r="M43" i="24"/>
  <c r="BR93" i="1"/>
  <c r="M92" i="24"/>
  <c r="BR63" i="1"/>
  <c r="M62" i="24"/>
  <c r="BR8" i="1"/>
  <c r="M7" i="24"/>
  <c r="BR111" i="1"/>
  <c r="M110" i="24"/>
  <c r="BR32" i="1"/>
  <c r="O31" i="24" s="1"/>
  <c r="M31" i="24"/>
  <c r="BR91" i="1"/>
  <c r="M90" i="24"/>
  <c r="BR62" i="1"/>
  <c r="M61" i="24"/>
  <c r="BR48" i="1"/>
  <c r="M47" i="24"/>
  <c r="BR60" i="1"/>
  <c r="M59" i="24"/>
  <c r="BR58" i="1"/>
  <c r="M57" i="24"/>
  <c r="BR100" i="1"/>
  <c r="BS100" i="1" s="1"/>
  <c r="M99" i="24"/>
  <c r="M48" i="24"/>
  <c r="BR113" i="1"/>
  <c r="M112" i="24"/>
  <c r="BR68" i="1"/>
  <c r="M67" i="24"/>
  <c r="BR28" i="1"/>
  <c r="M27" i="24"/>
  <c r="BR95" i="1"/>
  <c r="BS95" i="1" s="1"/>
  <c r="M94" i="24"/>
  <c r="BR24" i="1"/>
  <c r="M23" i="24"/>
  <c r="BR6" i="1"/>
  <c r="BS6" i="1" s="1"/>
  <c r="M5" i="24"/>
  <c r="BR40" i="1"/>
  <c r="M39" i="24"/>
  <c r="BR112" i="1"/>
  <c r="M111" i="24"/>
  <c r="BR99" i="1"/>
  <c r="M98" i="24"/>
  <c r="BR70" i="1"/>
  <c r="M69" i="24"/>
  <c r="BR7" i="1"/>
  <c r="BS7" i="1" s="1"/>
  <c r="M6" i="24"/>
  <c r="BR84" i="1"/>
  <c r="M83" i="24"/>
  <c r="BR74" i="1"/>
  <c r="M73" i="24"/>
  <c r="BR124" i="1"/>
  <c r="BS124" i="1" s="1"/>
  <c r="M123" i="24"/>
  <c r="BR57" i="1"/>
  <c r="M56" i="24"/>
  <c r="BR50" i="1"/>
  <c r="M49" i="24"/>
  <c r="BR92" i="1"/>
  <c r="M91" i="24"/>
  <c r="BR37" i="1"/>
  <c r="BS37" i="1" s="1"/>
  <c r="M36" i="24"/>
  <c r="BR119" i="1"/>
  <c r="BS119" i="1" s="1"/>
  <c r="M118" i="24"/>
  <c r="BR13" i="1"/>
  <c r="M12" i="24"/>
  <c r="BR21" i="1"/>
  <c r="M20" i="24"/>
  <c r="BR56" i="1"/>
  <c r="M55" i="24"/>
  <c r="BR120" i="1"/>
  <c r="BS120" i="1" s="1"/>
  <c r="M119" i="24"/>
  <c r="BR107" i="1"/>
  <c r="M106" i="24"/>
  <c r="BR78" i="1"/>
  <c r="M77" i="24"/>
  <c r="BR12" i="1"/>
  <c r="M11" i="24"/>
  <c r="BR25" i="1"/>
  <c r="M24" i="24"/>
  <c r="BR114" i="1"/>
  <c r="O113" i="24" s="1"/>
  <c r="M113" i="24"/>
  <c r="BR83" i="1"/>
  <c r="M82" i="24"/>
  <c r="BR39" i="1"/>
  <c r="M38" i="24"/>
  <c r="BR88" i="1"/>
  <c r="M87" i="24"/>
  <c r="BR67" i="1"/>
  <c r="M66" i="24"/>
  <c r="BR110" i="1"/>
  <c r="M109" i="24"/>
  <c r="BR34" i="1"/>
  <c r="O33" i="24" s="1"/>
  <c r="M33" i="24"/>
  <c r="BR33" i="1"/>
  <c r="BS33" i="1" s="1"/>
  <c r="M32" i="24"/>
  <c r="BR36" i="1"/>
  <c r="BS36" i="1" s="1"/>
  <c r="M35" i="24"/>
  <c r="BR79" i="1"/>
  <c r="M78" i="24"/>
  <c r="BR116" i="1"/>
  <c r="M115" i="24"/>
  <c r="BR90" i="1"/>
  <c r="M89" i="24"/>
  <c r="BR85" i="1"/>
  <c r="M84" i="24"/>
  <c r="BR65" i="1"/>
  <c r="M64" i="24"/>
  <c r="BR66" i="1"/>
  <c r="M65" i="24"/>
  <c r="BR108" i="1"/>
  <c r="BS108" i="1" s="1"/>
  <c r="M107" i="24"/>
  <c r="BR69" i="1"/>
  <c r="M68" i="24"/>
  <c r="BR22" i="1"/>
  <c r="M21" i="24"/>
  <c r="BR14" i="1"/>
  <c r="M13" i="24"/>
  <c r="BR103" i="1"/>
  <c r="M102" i="24"/>
  <c r="BR64" i="1"/>
  <c r="M63" i="24"/>
  <c r="BR47" i="1"/>
  <c r="M46" i="24"/>
  <c r="BR27" i="1"/>
  <c r="M26" i="24"/>
  <c r="BR115" i="1"/>
  <c r="BS115" i="1" s="1"/>
  <c r="M114" i="24"/>
  <c r="BR86" i="1"/>
  <c r="O85" i="24" s="1"/>
  <c r="M85" i="24"/>
  <c r="BR77" i="1"/>
  <c r="M76" i="24"/>
  <c r="BR106" i="1"/>
  <c r="BS106" i="1" s="1"/>
  <c r="M105" i="24"/>
  <c r="BR9" i="1"/>
  <c r="M8" i="24"/>
  <c r="BR73" i="1"/>
  <c r="M72" i="24"/>
  <c r="BR82" i="1"/>
  <c r="M81" i="24"/>
  <c r="BR29" i="1"/>
  <c r="M28" i="24"/>
  <c r="BR109" i="1"/>
  <c r="BS109" i="1" s="1"/>
  <c r="M108" i="24"/>
  <c r="BR101" i="1"/>
  <c r="O100" i="24" s="1"/>
  <c r="M100" i="24"/>
  <c r="BR19" i="1"/>
  <c r="M18" i="24"/>
  <c r="BR72" i="1"/>
  <c r="M71" i="24"/>
  <c r="BR71" i="1"/>
  <c r="M70" i="24"/>
  <c r="BR35" i="1"/>
  <c r="BS35" i="1" s="1"/>
  <c r="M34" i="24"/>
  <c r="BR30" i="1"/>
  <c r="BS30" i="1" s="1"/>
  <c r="M29" i="24"/>
  <c r="BR94" i="1"/>
  <c r="M93" i="24"/>
  <c r="BS11" i="1"/>
  <c r="O10" i="24"/>
  <c r="BR117" i="1"/>
  <c r="M116" i="24"/>
  <c r="BR122" i="1"/>
  <c r="O121" i="24" s="1"/>
  <c r="M121" i="24"/>
  <c r="BR17" i="1"/>
  <c r="M16" i="24"/>
  <c r="BR81" i="1"/>
  <c r="M80" i="24"/>
  <c r="BR98" i="1"/>
  <c r="M97" i="24"/>
  <c r="BR45" i="1"/>
  <c r="M44" i="24"/>
  <c r="BR43" i="1"/>
  <c r="M42" i="24"/>
  <c r="BR59" i="1"/>
  <c r="M58" i="24"/>
  <c r="BR123" i="1"/>
  <c r="O122" i="24" s="1"/>
  <c r="M122" i="24"/>
  <c r="BR125" i="1"/>
  <c r="BS125" i="1" s="1"/>
  <c r="M124" i="24"/>
  <c r="BR80" i="1"/>
  <c r="M79" i="24"/>
  <c r="BR16" i="1"/>
  <c r="BS16" i="1" s="1"/>
  <c r="M15" i="24"/>
  <c r="BR51" i="1"/>
  <c r="M50" i="24"/>
  <c r="BR38" i="1"/>
  <c r="O37" i="24" s="1"/>
  <c r="M37" i="24"/>
  <c r="BR102" i="1"/>
  <c r="M101" i="24"/>
  <c r="BR26" i="1"/>
  <c r="BR60" i="2"/>
  <c r="M60" i="22"/>
  <c r="BR102" i="2"/>
  <c r="M102" i="22"/>
  <c r="BR26" i="2"/>
  <c r="BS26" i="2" s="1"/>
  <c r="M26" i="22"/>
  <c r="BR108" i="2"/>
  <c r="BS108" i="2" s="1"/>
  <c r="M108" i="22"/>
  <c r="BR39" i="2"/>
  <c r="O39" i="22" s="1"/>
  <c r="M39" i="22"/>
  <c r="BR56" i="2"/>
  <c r="O56" i="22" s="1"/>
  <c r="M56" i="22"/>
  <c r="BR93" i="2"/>
  <c r="BS93" i="2" s="1"/>
  <c r="M93" i="22"/>
  <c r="BR48" i="2"/>
  <c r="M48" i="22"/>
  <c r="BR20" i="2"/>
  <c r="O20" i="22" s="1"/>
  <c r="M20" i="22"/>
  <c r="BR95" i="2"/>
  <c r="M95" i="22"/>
  <c r="BR78" i="2"/>
  <c r="M78" i="22"/>
  <c r="BR62" i="2"/>
  <c r="BS62" i="2" s="1"/>
  <c r="M62" i="22"/>
  <c r="BR81" i="2"/>
  <c r="M81" i="22"/>
  <c r="BR97" i="2"/>
  <c r="BS97" i="2" s="1"/>
  <c r="M97" i="22"/>
  <c r="BR7" i="2"/>
  <c r="O7" i="22" s="1"/>
  <c r="M7" i="22"/>
  <c r="BR50" i="2"/>
  <c r="M50" i="22"/>
  <c r="BR8" i="2"/>
  <c r="M8" i="22"/>
  <c r="BR116" i="2"/>
  <c r="BS116" i="2" s="1"/>
  <c r="M116" i="22"/>
  <c r="BR106" i="2"/>
  <c r="M106" i="22"/>
  <c r="BR83" i="2"/>
  <c r="O83" i="22" s="1"/>
  <c r="M83" i="22"/>
  <c r="M125" i="22"/>
  <c r="BR82" i="2"/>
  <c r="M82" i="22"/>
  <c r="BR114" i="2"/>
  <c r="M114" i="22"/>
  <c r="BR91" i="2"/>
  <c r="M91" i="22"/>
  <c r="BR122" i="2"/>
  <c r="O122" i="22" s="1"/>
  <c r="M122" i="22"/>
  <c r="BR34" i="2"/>
  <c r="M34" i="22"/>
  <c r="BR27" i="2"/>
  <c r="M27" i="22"/>
  <c r="BR61" i="2"/>
  <c r="O61" i="22" s="1"/>
  <c r="M61" i="22"/>
  <c r="BR73" i="2"/>
  <c r="M73" i="22"/>
  <c r="BR15" i="2"/>
  <c r="O15" i="22" s="1"/>
  <c r="M15" i="22"/>
  <c r="BR110" i="2"/>
  <c r="M110" i="22"/>
  <c r="BR35" i="2"/>
  <c r="M35" i="22"/>
  <c r="BR49" i="2"/>
  <c r="BS49" i="2" s="1"/>
  <c r="M49" i="22"/>
  <c r="BR87" i="2"/>
  <c r="BS87" i="2" s="1"/>
  <c r="M87" i="22"/>
  <c r="BR41" i="2"/>
  <c r="BS41" i="2" s="1"/>
  <c r="M41" i="22"/>
  <c r="BR100" i="2"/>
  <c r="M100" i="22"/>
  <c r="BR17" i="2"/>
  <c r="M17" i="22"/>
  <c r="BR124" i="2"/>
  <c r="M124" i="22"/>
  <c r="BS105" i="2"/>
  <c r="BR84" i="2"/>
  <c r="M84" i="22"/>
  <c r="BR113" i="2"/>
  <c r="M113" i="22"/>
  <c r="BR115" i="2"/>
  <c r="O115" i="22" s="1"/>
  <c r="M115" i="22"/>
  <c r="BR77" i="2"/>
  <c r="M77" i="22"/>
  <c r="BR29" i="2"/>
  <c r="BS29" i="2" s="1"/>
  <c r="M29" i="22"/>
  <c r="BR123" i="2"/>
  <c r="BS123" i="2" s="1"/>
  <c r="M123" i="22"/>
  <c r="BR45" i="2"/>
  <c r="M45" i="22"/>
  <c r="BR53" i="2"/>
  <c r="BS53" i="2" s="1"/>
  <c r="M53" i="22"/>
  <c r="BR64" i="2"/>
  <c r="M64" i="22"/>
  <c r="BR16" i="2"/>
  <c r="O16" i="22" s="1"/>
  <c r="M16" i="22"/>
  <c r="BR111" i="2"/>
  <c r="M111" i="22"/>
  <c r="BR86" i="2"/>
  <c r="M86" i="22"/>
  <c r="BR36" i="2"/>
  <c r="M36" i="22"/>
  <c r="BR89" i="2"/>
  <c r="M89" i="22"/>
  <c r="BR38" i="2"/>
  <c r="O38" i="22" s="1"/>
  <c r="M38" i="22"/>
  <c r="BR40" i="2"/>
  <c r="BS40" i="2" s="1"/>
  <c r="M40" i="22"/>
  <c r="BR59" i="2"/>
  <c r="M59" i="22"/>
  <c r="BR14" i="2"/>
  <c r="M14" i="22"/>
  <c r="BR94" i="2"/>
  <c r="M94" i="22"/>
  <c r="BR120" i="2"/>
  <c r="BS120" i="2" s="1"/>
  <c r="M120" i="22"/>
  <c r="BR65" i="2"/>
  <c r="O65" i="22" s="1"/>
  <c r="M65" i="22"/>
  <c r="BR25" i="2"/>
  <c r="M25" i="22"/>
  <c r="BS12" i="2"/>
  <c r="BR10" i="2"/>
  <c r="O10" i="22" s="1"/>
  <c r="M10" i="22"/>
  <c r="BR80" i="2"/>
  <c r="M80" i="22"/>
  <c r="BR31" i="2"/>
  <c r="BS31" i="2" s="1"/>
  <c r="M31" i="22"/>
  <c r="BR92" i="2"/>
  <c r="M92" i="22"/>
  <c r="BR32" i="2"/>
  <c r="M32" i="22"/>
  <c r="BR90" i="2"/>
  <c r="O90" i="22" s="1"/>
  <c r="M90" i="22"/>
  <c r="M63" i="22"/>
  <c r="BR42" i="2"/>
  <c r="M42" i="22"/>
  <c r="BR70" i="2"/>
  <c r="M70" i="22"/>
  <c r="BR6" i="2"/>
  <c r="BS6" i="2" s="1"/>
  <c r="M6" i="22"/>
  <c r="BR22" i="2"/>
  <c r="O22" i="22" s="1"/>
  <c r="M22" i="22"/>
  <c r="BR37" i="2"/>
  <c r="M37" i="22"/>
  <c r="BR51" i="2"/>
  <c r="M51" i="22"/>
  <c r="BR103" i="2"/>
  <c r="O103" i="22" s="1"/>
  <c r="M103" i="22"/>
  <c r="BR52" i="2"/>
  <c r="O52" i="22" s="1"/>
  <c r="M52" i="22"/>
  <c r="BR54" i="2"/>
  <c r="M54" i="22"/>
  <c r="BR88" i="2"/>
  <c r="M88" i="22"/>
  <c r="BR55" i="2"/>
  <c r="M55" i="22"/>
  <c r="BR68" i="2"/>
  <c r="M68" i="22"/>
  <c r="BR28" i="2"/>
  <c r="M28" i="22"/>
  <c r="BR30" i="2"/>
  <c r="M30" i="22"/>
  <c r="BR67" i="2"/>
  <c r="O67" i="22" s="1"/>
  <c r="BR69" i="2"/>
  <c r="M69" i="22"/>
  <c r="BR46" i="2"/>
  <c r="M46" i="22"/>
  <c r="BR96" i="2"/>
  <c r="M96" i="22"/>
  <c r="BR11" i="2"/>
  <c r="M11" i="22"/>
  <c r="BR109" i="2"/>
  <c r="M109" i="22"/>
  <c r="BR23" i="2"/>
  <c r="O23" i="22" s="1"/>
  <c r="M23" i="22"/>
  <c r="BR9" i="2"/>
  <c r="M9" i="22"/>
  <c r="BR98" i="2"/>
  <c r="M98" i="22"/>
  <c r="BR66" i="2"/>
  <c r="BS66" i="2" s="1"/>
  <c r="M66" i="22"/>
  <c r="BR121" i="2"/>
  <c r="O121" i="22" s="1"/>
  <c r="M121" i="22"/>
  <c r="BR21" i="2"/>
  <c r="M21" i="22"/>
  <c r="BR33" i="2"/>
  <c r="BS33" i="2" s="1"/>
  <c r="M33" i="22"/>
  <c r="BR19" i="2"/>
  <c r="M19" i="22"/>
  <c r="BR119" i="2"/>
  <c r="M119" i="22"/>
  <c r="BR57" i="2"/>
  <c r="M57" i="22"/>
  <c r="BR101" i="2"/>
  <c r="M101" i="22"/>
  <c r="BR72" i="2"/>
  <c r="M72" i="22"/>
  <c r="BR99" i="2"/>
  <c r="O99" i="22" s="1"/>
  <c r="M99" i="22"/>
  <c r="BR118" i="2"/>
  <c r="M118" i="22"/>
  <c r="BR43" i="2"/>
  <c r="M43" i="22"/>
  <c r="BR112" i="2"/>
  <c r="BS112" i="2" s="1"/>
  <c r="M112" i="22"/>
  <c r="BR58" i="2"/>
  <c r="M58" i="22"/>
  <c r="BR104" i="2"/>
  <c r="BS104" i="2" s="1"/>
  <c r="M104" i="22"/>
  <c r="BR76" i="2"/>
  <c r="M76" i="22"/>
  <c r="BR44" i="2"/>
  <c r="M44" i="22"/>
  <c r="BR71" i="2"/>
  <c r="M71" i="22"/>
  <c r="BR75" i="2"/>
  <c r="M75" i="22"/>
  <c r="BR85" i="2"/>
  <c r="M85" i="22"/>
  <c r="BR79" i="2"/>
  <c r="M79" i="22"/>
  <c r="BR47" i="2"/>
  <c r="M47" i="22"/>
  <c r="BR13" i="2"/>
  <c r="O13" i="22" s="1"/>
  <c r="M13" i="22"/>
  <c r="BR117" i="2"/>
  <c r="O117" i="22" s="1"/>
  <c r="M117" i="22"/>
  <c r="BR24" i="2"/>
  <c r="M24" i="22"/>
  <c r="BR18" i="2"/>
  <c r="BS18" i="2" s="1"/>
  <c r="M18" i="22"/>
  <c r="BR107" i="2"/>
  <c r="M107" i="22"/>
  <c r="BR74" i="2"/>
  <c r="M74" i="22"/>
  <c r="O107" i="24"/>
  <c r="BS44" i="1"/>
  <c r="BS34" i="1"/>
  <c r="O32" i="24"/>
  <c r="BS123" i="1"/>
  <c r="BS121" i="1"/>
  <c r="O120" i="24"/>
  <c r="O118" i="24"/>
  <c r="BS118" i="1"/>
  <c r="O117" i="24"/>
  <c r="BS114" i="1"/>
  <c r="BR104" i="1"/>
  <c r="M103" i="24"/>
  <c r="BS20" i="2"/>
  <c r="BS32" i="1" l="1"/>
  <c r="O5" i="24"/>
  <c r="BS86" i="1"/>
  <c r="O36" i="24"/>
  <c r="O105" i="24"/>
  <c r="O123" i="24"/>
  <c r="BS38" i="1"/>
  <c r="BT38" i="1" s="1"/>
  <c r="R37" i="24" s="1"/>
  <c r="BS11" i="2"/>
  <c r="BT11" i="2" s="1"/>
  <c r="R11" i="22" s="1"/>
  <c r="O11" i="22"/>
  <c r="BS122" i="2"/>
  <c r="O123" i="22"/>
  <c r="BS103" i="2"/>
  <c r="Q103" i="22" s="1"/>
  <c r="BS39" i="2"/>
  <c r="Q39" i="22" s="1"/>
  <c r="BS16" i="2"/>
  <c r="BT16" i="2" s="1"/>
  <c r="R16" i="22" s="1"/>
  <c r="BS22" i="2"/>
  <c r="BT22" i="2" s="1"/>
  <c r="R22" i="22" s="1"/>
  <c r="BS7" i="2"/>
  <c r="BT7" i="2" s="1"/>
  <c r="R7" i="22" s="1"/>
  <c r="O31" i="22"/>
  <c r="O66" i="22"/>
  <c r="O40" i="22"/>
  <c r="O53" i="22"/>
  <c r="O120" i="22"/>
  <c r="O26" i="22"/>
  <c r="O93" i="22"/>
  <c r="BS52" i="2"/>
  <c r="BT52" i="2" s="1"/>
  <c r="R52" i="22" s="1"/>
  <c r="O49" i="22"/>
  <c r="BS10" i="2"/>
  <c r="Q10" i="22" s="1"/>
  <c r="O87" i="22"/>
  <c r="BS13" i="2"/>
  <c r="BT13" i="2" s="1"/>
  <c r="R13" i="22" s="1"/>
  <c r="O41" i="22"/>
  <c r="BS61" i="2"/>
  <c r="BT61" i="2" s="1"/>
  <c r="R61" i="22" s="1"/>
  <c r="O104" i="22"/>
  <c r="BS23" i="2"/>
  <c r="BT23" i="2" s="1"/>
  <c r="R23" i="22" s="1"/>
  <c r="BS15" i="2"/>
  <c r="BT15" i="2" s="1"/>
  <c r="R15" i="22" s="1"/>
  <c r="BS115" i="2"/>
  <c r="Q115" i="22" s="1"/>
  <c r="BS83" i="2"/>
  <c r="BT83" i="2" s="1"/>
  <c r="R83" i="22" s="1"/>
  <c r="O99" i="24"/>
  <c r="O112" i="22"/>
  <c r="BS38" i="2"/>
  <c r="BT38" i="2" s="1"/>
  <c r="R38" i="22" s="1"/>
  <c r="BS121" i="2"/>
  <c r="Q121" i="22" s="1"/>
  <c r="BS56" i="2"/>
  <c r="BT56" i="2" s="1"/>
  <c r="R56" i="22" s="1"/>
  <c r="BS99" i="2"/>
  <c r="Q99" i="22" s="1"/>
  <c r="O15" i="24"/>
  <c r="O114" i="24"/>
  <c r="BS101" i="1"/>
  <c r="BT101" i="1" s="1"/>
  <c r="R100" i="24" s="1"/>
  <c r="O34" i="24"/>
  <c r="BS122" i="1"/>
  <c r="Q121" i="24" s="1"/>
  <c r="O30" i="24"/>
  <c r="O35" i="24"/>
  <c r="O94" i="24"/>
  <c r="O124" i="24"/>
  <c r="BS82" i="1"/>
  <c r="O81" i="24"/>
  <c r="BS65" i="1"/>
  <c r="O64" i="24"/>
  <c r="BS83" i="1"/>
  <c r="O82" i="24"/>
  <c r="BS54" i="1"/>
  <c r="O53" i="24"/>
  <c r="O29" i="24"/>
  <c r="BS51" i="1"/>
  <c r="O50" i="24"/>
  <c r="BS98" i="1"/>
  <c r="O97" i="24"/>
  <c r="BS73" i="1"/>
  <c r="O72" i="24"/>
  <c r="BS64" i="1"/>
  <c r="O63" i="24"/>
  <c r="BS69" i="1"/>
  <c r="O68" i="24"/>
  <c r="BS85" i="1"/>
  <c r="O84" i="24"/>
  <c r="BS67" i="1"/>
  <c r="O66" i="24"/>
  <c r="BS107" i="1"/>
  <c r="O106" i="24"/>
  <c r="BS13" i="1"/>
  <c r="O12" i="24"/>
  <c r="BS50" i="1"/>
  <c r="O49" i="24"/>
  <c r="BS84" i="1"/>
  <c r="O83" i="24"/>
  <c r="BS112" i="1"/>
  <c r="O111" i="24"/>
  <c r="O48" i="24"/>
  <c r="BS48" i="1"/>
  <c r="O47" i="24"/>
  <c r="BS111" i="1"/>
  <c r="O110" i="24"/>
  <c r="BS42" i="1"/>
  <c r="O41" i="24"/>
  <c r="BS75" i="1"/>
  <c r="O74" i="24"/>
  <c r="BS10" i="1"/>
  <c r="O9" i="24"/>
  <c r="BS53" i="1"/>
  <c r="O52" i="24"/>
  <c r="BS45" i="1"/>
  <c r="O44" i="24"/>
  <c r="BS19" i="1"/>
  <c r="O18" i="24"/>
  <c r="BS77" i="1"/>
  <c r="O76" i="24"/>
  <c r="BS47" i="1"/>
  <c r="O46" i="24"/>
  <c r="BS22" i="1"/>
  <c r="O21" i="24"/>
  <c r="BS79" i="1"/>
  <c r="O78" i="24"/>
  <c r="BS110" i="1"/>
  <c r="O109" i="24"/>
  <c r="BS78" i="1"/>
  <c r="O77" i="24"/>
  <c r="BS21" i="1"/>
  <c r="O20" i="24"/>
  <c r="BS92" i="1"/>
  <c r="O91" i="24"/>
  <c r="BS74" i="1"/>
  <c r="O73" i="24"/>
  <c r="BS99" i="1"/>
  <c r="O98" i="24"/>
  <c r="BS24" i="1"/>
  <c r="O23" i="24"/>
  <c r="BS113" i="1"/>
  <c r="O112" i="24"/>
  <c r="BS60" i="1"/>
  <c r="O59" i="24"/>
  <c r="BS93" i="1"/>
  <c r="O92" i="24"/>
  <c r="BS76" i="1"/>
  <c r="O75" i="24"/>
  <c r="BS87" i="1"/>
  <c r="O86" i="24"/>
  <c r="BS52" i="1"/>
  <c r="O51" i="24"/>
  <c r="BS55" i="1"/>
  <c r="O54" i="24"/>
  <c r="O108" i="24"/>
  <c r="O119" i="24"/>
  <c r="O6" i="24"/>
  <c r="BS117" i="1"/>
  <c r="O116" i="24"/>
  <c r="BS26" i="1"/>
  <c r="O25" i="24"/>
  <c r="BS59" i="1"/>
  <c r="O58" i="24"/>
  <c r="BS81" i="1"/>
  <c r="O80" i="24"/>
  <c r="BT11" i="1"/>
  <c r="R10" i="24" s="1"/>
  <c r="Q10" i="24"/>
  <c r="BS71" i="1"/>
  <c r="O70" i="24"/>
  <c r="BS9" i="1"/>
  <c r="O8" i="24"/>
  <c r="BS103" i="1"/>
  <c r="O102" i="24"/>
  <c r="BS90" i="1"/>
  <c r="O89" i="24"/>
  <c r="BS88" i="1"/>
  <c r="O87" i="24"/>
  <c r="BS25" i="1"/>
  <c r="O24" i="24"/>
  <c r="BS57" i="1"/>
  <c r="O56" i="24"/>
  <c r="BS40" i="1"/>
  <c r="O39" i="24"/>
  <c r="BS28" i="1"/>
  <c r="O27" i="24"/>
  <c r="BS62" i="1"/>
  <c r="O61" i="24"/>
  <c r="BS8" i="1"/>
  <c r="O7" i="24"/>
  <c r="BS105" i="1"/>
  <c r="O104" i="24"/>
  <c r="BS20" i="1"/>
  <c r="O19" i="24"/>
  <c r="BS96" i="1"/>
  <c r="O95" i="24"/>
  <c r="BS61" i="1"/>
  <c r="O60" i="24"/>
  <c r="BS46" i="1"/>
  <c r="O45" i="24"/>
  <c r="BS89" i="1"/>
  <c r="O88" i="24"/>
  <c r="BS102" i="1"/>
  <c r="O101" i="24"/>
  <c r="BS80" i="1"/>
  <c r="O79" i="24"/>
  <c r="BS43" i="1"/>
  <c r="O42" i="24"/>
  <c r="BS17" i="1"/>
  <c r="O16" i="24"/>
  <c r="BS94" i="1"/>
  <c r="O93" i="24"/>
  <c r="BS72" i="1"/>
  <c r="O71" i="24"/>
  <c r="BS29" i="1"/>
  <c r="O28" i="24"/>
  <c r="BS27" i="1"/>
  <c r="O26" i="24"/>
  <c r="BS14" i="1"/>
  <c r="O13" i="24"/>
  <c r="BS66" i="1"/>
  <c r="O65" i="24"/>
  <c r="BS116" i="1"/>
  <c r="O115" i="24"/>
  <c r="BS39" i="1"/>
  <c r="O38" i="24"/>
  <c r="BS12" i="1"/>
  <c r="O11" i="24"/>
  <c r="BS56" i="1"/>
  <c r="O55" i="24"/>
  <c r="BS70" i="1"/>
  <c r="O69" i="24"/>
  <c r="BS68" i="1"/>
  <c r="O67" i="24"/>
  <c r="BS58" i="1"/>
  <c r="O57" i="24"/>
  <c r="BS91" i="1"/>
  <c r="O90" i="24"/>
  <c r="BS63" i="1"/>
  <c r="O62" i="24"/>
  <c r="BS41" i="1"/>
  <c r="O40" i="24"/>
  <c r="BS23" i="1"/>
  <c r="O22" i="24"/>
  <c r="BS97" i="1"/>
  <c r="O96" i="24"/>
  <c r="BS15" i="1"/>
  <c r="O14" i="24"/>
  <c r="BS18" i="1"/>
  <c r="O17" i="24"/>
  <c r="BS43" i="2"/>
  <c r="O43" i="22"/>
  <c r="BS67" i="2"/>
  <c r="Q67" i="22" s="1"/>
  <c r="BS84" i="2"/>
  <c r="O84" i="22"/>
  <c r="BS91" i="2"/>
  <c r="O91" i="22"/>
  <c r="BS48" i="2"/>
  <c r="O48" i="22"/>
  <c r="BS65" i="2"/>
  <c r="BT65" i="2" s="1"/>
  <c r="R65" i="22" s="1"/>
  <c r="BS46" i="2"/>
  <c r="O46" i="22"/>
  <c r="BS95" i="2"/>
  <c r="O95" i="22"/>
  <c r="BS74" i="2"/>
  <c r="O74" i="22"/>
  <c r="BS101" i="2"/>
  <c r="O101" i="22"/>
  <c r="BS55" i="2"/>
  <c r="O55" i="22"/>
  <c r="BS80" i="2"/>
  <c r="O80" i="22"/>
  <c r="O29" i="22"/>
  <c r="O62" i="22"/>
  <c r="O33" i="22"/>
  <c r="BS117" i="2"/>
  <c r="Q117" i="22" s="1"/>
  <c r="BS90" i="2"/>
  <c r="BT90" i="2" s="1"/>
  <c r="R90" i="22" s="1"/>
  <c r="BS107" i="2"/>
  <c r="O107" i="22"/>
  <c r="BS75" i="2"/>
  <c r="O75" i="22"/>
  <c r="BS118" i="2"/>
  <c r="O118" i="22"/>
  <c r="BS57" i="2"/>
  <c r="O57" i="22"/>
  <c r="BS21" i="2"/>
  <c r="O21" i="22"/>
  <c r="BS9" i="2"/>
  <c r="O9" i="22"/>
  <c r="BS96" i="2"/>
  <c r="O96" i="22"/>
  <c r="BS30" i="2"/>
  <c r="O30" i="22"/>
  <c r="BS88" i="2"/>
  <c r="O88" i="22"/>
  <c r="BS51" i="2"/>
  <c r="O51" i="22"/>
  <c r="BS70" i="2"/>
  <c r="O70" i="22"/>
  <c r="BS32" i="2"/>
  <c r="O32" i="22"/>
  <c r="BS86" i="2"/>
  <c r="O86" i="22"/>
  <c r="BS77" i="2"/>
  <c r="O77" i="22"/>
  <c r="BT105" i="2"/>
  <c r="BS110" i="2"/>
  <c r="O110" i="22"/>
  <c r="BS27" i="2"/>
  <c r="O27" i="22"/>
  <c r="BS114" i="2"/>
  <c r="O114" i="22"/>
  <c r="BS106" i="2"/>
  <c r="O106" i="22"/>
  <c r="BS78" i="2"/>
  <c r="O78" i="22"/>
  <c r="BS64" i="2"/>
  <c r="O64" i="22"/>
  <c r="BS50" i="2"/>
  <c r="O50" i="22"/>
  <c r="O108" i="22"/>
  <c r="BS85" i="2"/>
  <c r="O85" i="22"/>
  <c r="BS98" i="2"/>
  <c r="O98" i="22"/>
  <c r="BS59" i="2"/>
  <c r="O59" i="22"/>
  <c r="BS100" i="2"/>
  <c r="O100" i="22"/>
  <c r="BS47" i="2"/>
  <c r="O47" i="22"/>
  <c r="BS58" i="2"/>
  <c r="O58" i="22"/>
  <c r="BS119" i="2"/>
  <c r="O119" i="22"/>
  <c r="BS54" i="2"/>
  <c r="O54" i="22"/>
  <c r="BS42" i="2"/>
  <c r="O42" i="22"/>
  <c r="BS94" i="2"/>
  <c r="O94" i="22"/>
  <c r="BS111" i="2"/>
  <c r="O111" i="22"/>
  <c r="BS82" i="2"/>
  <c r="O82" i="22"/>
  <c r="O18" i="22"/>
  <c r="O97" i="22"/>
  <c r="O116" i="22"/>
  <c r="BS76" i="2"/>
  <c r="O76" i="22"/>
  <c r="BS36" i="2"/>
  <c r="O36" i="22"/>
  <c r="BS35" i="2"/>
  <c r="O35" i="22"/>
  <c r="BS71" i="2"/>
  <c r="O71" i="22"/>
  <c r="BS28" i="2"/>
  <c r="O28" i="22"/>
  <c r="BS37" i="2"/>
  <c r="O37" i="22"/>
  <c r="BS92" i="2"/>
  <c r="O92" i="22"/>
  <c r="BT12" i="2"/>
  <c r="BS45" i="2"/>
  <c r="O45" i="22"/>
  <c r="BS124" i="2"/>
  <c r="O124" i="22"/>
  <c r="BS34" i="2"/>
  <c r="O34" i="22"/>
  <c r="BS102" i="2"/>
  <c r="O102" i="22"/>
  <c r="O6" i="22"/>
  <c r="BS24" i="2"/>
  <c r="O24" i="22"/>
  <c r="BS79" i="2"/>
  <c r="O79" i="22"/>
  <c r="BS44" i="2"/>
  <c r="O44" i="22"/>
  <c r="BS72" i="2"/>
  <c r="O72" i="22"/>
  <c r="BS19" i="2"/>
  <c r="O19" i="22"/>
  <c r="BS109" i="2"/>
  <c r="O109" i="22"/>
  <c r="BS69" i="2"/>
  <c r="O69" i="22"/>
  <c r="BS68" i="2"/>
  <c r="O68" i="22"/>
  <c r="O63" i="22"/>
  <c r="BS25" i="2"/>
  <c r="O25" i="22"/>
  <c r="BS14" i="2"/>
  <c r="O14" i="22"/>
  <c r="BS89" i="2"/>
  <c r="O89" i="22"/>
  <c r="BS113" i="2"/>
  <c r="O113" i="22"/>
  <c r="BS17" i="2"/>
  <c r="O17" i="22"/>
  <c r="BS73" i="2"/>
  <c r="O73" i="22"/>
  <c r="O125" i="22"/>
  <c r="BS8" i="2"/>
  <c r="O8" i="22"/>
  <c r="BS81" i="2"/>
  <c r="O81" i="22"/>
  <c r="BS60" i="2"/>
  <c r="O60" i="22"/>
  <c r="BT116" i="2"/>
  <c r="R116" i="22" s="1"/>
  <c r="Q116" i="22"/>
  <c r="BT39" i="2"/>
  <c r="R39" i="22" s="1"/>
  <c r="BT33" i="2"/>
  <c r="R33" i="22" s="1"/>
  <c r="Q33" i="22"/>
  <c r="BT123" i="2"/>
  <c r="R123" i="22" s="1"/>
  <c r="Q123" i="22"/>
  <c r="BT122" i="2"/>
  <c r="R122" i="22" s="1"/>
  <c r="Q122" i="22"/>
  <c r="R112" i="22"/>
  <c r="Q112" i="22"/>
  <c r="BT108" i="2"/>
  <c r="R108" i="22" s="1"/>
  <c r="Q108" i="22"/>
  <c r="BT104" i="2"/>
  <c r="R104" i="22" s="1"/>
  <c r="Q104" i="22"/>
  <c r="BT97" i="2"/>
  <c r="R97" i="22" s="1"/>
  <c r="Q97" i="22"/>
  <c r="BT93" i="2"/>
  <c r="R93" i="22" s="1"/>
  <c r="Q93" i="22"/>
  <c r="BT87" i="2"/>
  <c r="R87" i="22" s="1"/>
  <c r="Q87" i="22"/>
  <c r="BT66" i="2"/>
  <c r="R66" i="22" s="1"/>
  <c r="Q66" i="22"/>
  <c r="BT62" i="2"/>
  <c r="R62" i="22" s="1"/>
  <c r="Q62" i="22"/>
  <c r="R53" i="22"/>
  <c r="Q53" i="22"/>
  <c r="BT49" i="2"/>
  <c r="R49" i="22" s="1"/>
  <c r="Q49" i="22"/>
  <c r="BT41" i="2"/>
  <c r="R41" i="22" s="1"/>
  <c r="Q41" i="22"/>
  <c r="BT40" i="2"/>
  <c r="R40" i="22" s="1"/>
  <c r="Q40" i="22"/>
  <c r="BT31" i="2"/>
  <c r="R31" i="22" s="1"/>
  <c r="Q31" i="22"/>
  <c r="BT29" i="2"/>
  <c r="R29" i="22" s="1"/>
  <c r="Q29" i="22"/>
  <c r="BT26" i="2"/>
  <c r="R26" i="22" s="1"/>
  <c r="Q26" i="22"/>
  <c r="BT18" i="2"/>
  <c r="R18" i="22" s="1"/>
  <c r="Q18" i="22"/>
  <c r="BT6" i="2"/>
  <c r="R6" i="22" s="1"/>
  <c r="Q6" i="22"/>
  <c r="BT115" i="1"/>
  <c r="R114" i="24" s="1"/>
  <c r="Q114" i="24"/>
  <c r="BT86" i="1"/>
  <c r="R85" i="24" s="1"/>
  <c r="Q85" i="24"/>
  <c r="R107" i="24"/>
  <c r="Q107" i="24"/>
  <c r="BT95" i="1"/>
  <c r="R94" i="24" s="1"/>
  <c r="Q94" i="24"/>
  <c r="BT44" i="1"/>
  <c r="R43" i="24" s="1"/>
  <c r="Q43" i="24"/>
  <c r="BT16" i="1"/>
  <c r="R15" i="24" s="1"/>
  <c r="Q15" i="24"/>
  <c r="BT7" i="1"/>
  <c r="R6" i="24" s="1"/>
  <c r="Q6" i="24"/>
  <c r="R36" i="24"/>
  <c r="Q36" i="24"/>
  <c r="BT36" i="1"/>
  <c r="R35" i="24" s="1"/>
  <c r="Q35" i="24"/>
  <c r="R34" i="24"/>
  <c r="Q34" i="24"/>
  <c r="R33" i="24"/>
  <c r="Q33" i="24"/>
  <c r="R32" i="24"/>
  <c r="Q32" i="24"/>
  <c r="BT32" i="1"/>
  <c r="R31" i="24" s="1"/>
  <c r="Q31" i="24"/>
  <c r="R30" i="24"/>
  <c r="Q30" i="24"/>
  <c r="BT30" i="1"/>
  <c r="R29" i="24" s="1"/>
  <c r="Q29" i="24"/>
  <c r="R99" i="24"/>
  <c r="Q99" i="24"/>
  <c r="Q100" i="24"/>
  <c r="BT123" i="1"/>
  <c r="R122" i="24" s="1"/>
  <c r="Q122" i="24"/>
  <c r="BT124" i="1"/>
  <c r="R123" i="24" s="1"/>
  <c r="Q123" i="24"/>
  <c r="R124" i="24"/>
  <c r="Q124" i="24"/>
  <c r="Q120" i="24"/>
  <c r="BT120" i="1"/>
  <c r="R119" i="24" s="1"/>
  <c r="Q119" i="24"/>
  <c r="R118" i="24"/>
  <c r="Q118" i="24"/>
  <c r="BT118" i="1"/>
  <c r="R117" i="24" s="1"/>
  <c r="Q117" i="24"/>
  <c r="BT114" i="1"/>
  <c r="R113" i="24" s="1"/>
  <c r="Q113" i="24"/>
  <c r="R108" i="24"/>
  <c r="Q108" i="24"/>
  <c r="BT106" i="1"/>
  <c r="R105" i="24" s="1"/>
  <c r="Q105" i="24"/>
  <c r="BS104" i="1"/>
  <c r="O103" i="24"/>
  <c r="R5" i="24"/>
  <c r="Q5" i="24"/>
  <c r="BT120" i="2"/>
  <c r="R120" i="22" s="1"/>
  <c r="Q120" i="22"/>
  <c r="BT20" i="2"/>
  <c r="R20" i="22" s="1"/>
  <c r="Q20" i="22"/>
  <c r="Q11" i="22"/>
  <c r="Q37" i="24" l="1"/>
  <c r="R121" i="24"/>
  <c r="BT103" i="2"/>
  <c r="R103" i="22" s="1"/>
  <c r="Q16" i="22"/>
  <c r="Q61" i="22"/>
  <c r="Q23" i="22"/>
  <c r="Q22" i="22"/>
  <c r="Q56" i="22"/>
  <c r="Q7" i="22"/>
  <c r="Q52" i="22"/>
  <c r="Q15" i="22"/>
  <c r="BT10" i="2"/>
  <c r="R10" i="22" s="1"/>
  <c r="Q83" i="22"/>
  <c r="Q13" i="22"/>
  <c r="Q38" i="22"/>
  <c r="R121" i="22"/>
  <c r="BT115" i="2"/>
  <c r="R115" i="22" s="1"/>
  <c r="BT99" i="2"/>
  <c r="R99" i="22" s="1"/>
  <c r="Q90" i="22"/>
  <c r="R117" i="22"/>
  <c r="Q65" i="22"/>
  <c r="R62" i="24"/>
  <c r="Q62" i="24"/>
  <c r="R115" i="24"/>
  <c r="Q115" i="24"/>
  <c r="R42" i="24"/>
  <c r="Q42" i="24"/>
  <c r="BT105" i="1"/>
  <c r="R104" i="24" s="1"/>
  <c r="Q104" i="24"/>
  <c r="BT90" i="1"/>
  <c r="R89" i="24" s="1"/>
  <c r="Q89" i="24"/>
  <c r="BT65" i="1"/>
  <c r="R64" i="24" s="1"/>
  <c r="Q64" i="24"/>
  <c r="R75" i="24"/>
  <c r="Q75" i="24"/>
  <c r="R23" i="24"/>
  <c r="Q23" i="24"/>
  <c r="R20" i="24"/>
  <c r="Q20" i="24"/>
  <c r="R21" i="24"/>
  <c r="Q21" i="24"/>
  <c r="BT45" i="1"/>
  <c r="Q44" i="24"/>
  <c r="BT42" i="1"/>
  <c r="R41" i="24" s="1"/>
  <c r="Q41" i="24"/>
  <c r="BT112" i="1"/>
  <c r="R111" i="24" s="1"/>
  <c r="Q111" i="24"/>
  <c r="BT107" i="1"/>
  <c r="R106" i="24" s="1"/>
  <c r="Q106" i="24"/>
  <c r="BT64" i="1"/>
  <c r="R63" i="24" s="1"/>
  <c r="Q63" i="24"/>
  <c r="R22" i="24"/>
  <c r="Q22" i="24"/>
  <c r="BT12" i="1"/>
  <c r="R11" i="24" s="1"/>
  <c r="Q11" i="24"/>
  <c r="BT14" i="1"/>
  <c r="R13" i="24" s="1"/>
  <c r="Q13" i="24"/>
  <c r="BT94" i="1"/>
  <c r="R93" i="24" s="1"/>
  <c r="Q93" i="24"/>
  <c r="BT102" i="1"/>
  <c r="Q101" i="24"/>
  <c r="R95" i="24"/>
  <c r="Q95" i="24"/>
  <c r="BT25" i="1"/>
  <c r="R24" i="24" s="1"/>
  <c r="Q24" i="24"/>
  <c r="R8" i="24"/>
  <c r="Q8" i="24"/>
  <c r="BT59" i="1"/>
  <c r="R58" i="24" s="1"/>
  <c r="Q58" i="24"/>
  <c r="R54" i="24"/>
  <c r="Q54" i="24"/>
  <c r="R92" i="24"/>
  <c r="Q92" i="24"/>
  <c r="BT99" i="1"/>
  <c r="R98" i="24" s="1"/>
  <c r="Q98" i="24"/>
  <c r="BT78" i="1"/>
  <c r="R77" i="24" s="1"/>
  <c r="Q77" i="24"/>
  <c r="BT47" i="1"/>
  <c r="R46" i="24" s="1"/>
  <c r="Q46" i="24"/>
  <c r="R52" i="24"/>
  <c r="Q52" i="24"/>
  <c r="R110" i="24"/>
  <c r="Q110" i="24"/>
  <c r="BT84" i="1"/>
  <c r="R83" i="24" s="1"/>
  <c r="Q83" i="24"/>
  <c r="BT67" i="1"/>
  <c r="R66" i="24" s="1"/>
  <c r="Q66" i="24"/>
  <c r="R72" i="24"/>
  <c r="Q72" i="24"/>
  <c r="R17" i="24"/>
  <c r="Q17" i="24"/>
  <c r="R40" i="24"/>
  <c r="Q40" i="24"/>
  <c r="BT68" i="1"/>
  <c r="R67" i="24" s="1"/>
  <c r="Q67" i="24"/>
  <c r="BT39" i="1"/>
  <c r="R38" i="24" s="1"/>
  <c r="Q38" i="24"/>
  <c r="R26" i="24"/>
  <c r="Q26" i="24"/>
  <c r="BT17" i="1"/>
  <c r="R16" i="24" s="1"/>
  <c r="Q16" i="24"/>
  <c r="R88" i="24"/>
  <c r="Q88" i="24"/>
  <c r="R19" i="24"/>
  <c r="Q19" i="24"/>
  <c r="BT28" i="1"/>
  <c r="R27" i="24" s="1"/>
  <c r="Q27" i="24"/>
  <c r="R87" i="24"/>
  <c r="Q87" i="24"/>
  <c r="BT71" i="1"/>
  <c r="R70" i="24" s="1"/>
  <c r="Q70" i="24"/>
  <c r="R25" i="24"/>
  <c r="Q25" i="24"/>
  <c r="R82" i="24"/>
  <c r="Q82" i="24"/>
  <c r="R57" i="24"/>
  <c r="Q57" i="24"/>
  <c r="R61" i="24"/>
  <c r="Q61" i="24"/>
  <c r="BT54" i="1"/>
  <c r="R53" i="24" s="1"/>
  <c r="Q53" i="24"/>
  <c r="R51" i="24"/>
  <c r="Q51" i="24"/>
  <c r="R59" i="24"/>
  <c r="Q59" i="24"/>
  <c r="BT74" i="1"/>
  <c r="R73" i="24" s="1"/>
  <c r="Q73" i="24"/>
  <c r="BT110" i="1"/>
  <c r="R109" i="24" s="1"/>
  <c r="Q109" i="24"/>
  <c r="R76" i="24"/>
  <c r="Q76" i="24"/>
  <c r="R9" i="24"/>
  <c r="Q9" i="24"/>
  <c r="BT48" i="1"/>
  <c r="R47" i="24" s="1"/>
  <c r="Q47" i="24"/>
  <c r="BT50" i="1"/>
  <c r="R49" i="24" s="1"/>
  <c r="Q49" i="24"/>
  <c r="BT85" i="1"/>
  <c r="R84" i="24" s="1"/>
  <c r="Q84" i="24"/>
  <c r="BT98" i="1"/>
  <c r="R97" i="24" s="1"/>
  <c r="Q97" i="24"/>
  <c r="R28" i="24"/>
  <c r="Q28" i="24"/>
  <c r="R91" i="24"/>
  <c r="Q91" i="24"/>
  <c r="BT79" i="1"/>
  <c r="R78" i="24" s="1"/>
  <c r="Q78" i="24"/>
  <c r="BT19" i="1"/>
  <c r="R18" i="24" s="1"/>
  <c r="Q18" i="24"/>
  <c r="BT75" i="1"/>
  <c r="R74" i="24" s="1"/>
  <c r="Q74" i="24"/>
  <c r="BT49" i="1"/>
  <c r="R48" i="24" s="1"/>
  <c r="Q48" i="24"/>
  <c r="BT13" i="1"/>
  <c r="R12" i="24" s="1"/>
  <c r="Q12" i="24"/>
  <c r="BT69" i="1"/>
  <c r="R68" i="24" s="1"/>
  <c r="Q68" i="24"/>
  <c r="BT51" i="1"/>
  <c r="R50" i="24" s="1"/>
  <c r="Q50" i="24"/>
  <c r="BT15" i="1"/>
  <c r="R14" i="24" s="1"/>
  <c r="Q14" i="24"/>
  <c r="BT70" i="1"/>
  <c r="R69" i="24" s="1"/>
  <c r="Q69" i="24"/>
  <c r="BT46" i="1"/>
  <c r="R45" i="24" s="1"/>
  <c r="Q45" i="24"/>
  <c r="BT40" i="1"/>
  <c r="R39" i="24" s="1"/>
  <c r="Q39" i="24"/>
  <c r="R116" i="24"/>
  <c r="Q116" i="24"/>
  <c r="R86" i="24"/>
  <c r="Q86" i="24"/>
  <c r="BT113" i="1"/>
  <c r="R112" i="24" s="1"/>
  <c r="Q112" i="24"/>
  <c r="R96" i="24"/>
  <c r="Q96" i="24"/>
  <c r="R90" i="24"/>
  <c r="Q90" i="24"/>
  <c r="BT56" i="1"/>
  <c r="R55" i="24" s="1"/>
  <c r="Q55" i="24"/>
  <c r="BT66" i="1"/>
  <c r="R65" i="24" s="1"/>
  <c r="Q65" i="24"/>
  <c r="BT72" i="1"/>
  <c r="R71" i="24" s="1"/>
  <c r="Q71" i="24"/>
  <c r="R79" i="24"/>
  <c r="Q79" i="24"/>
  <c r="BT61" i="1"/>
  <c r="R60" i="24" s="1"/>
  <c r="Q60" i="24"/>
  <c r="R7" i="24"/>
  <c r="Q7" i="24"/>
  <c r="BT57" i="1"/>
  <c r="R56" i="24" s="1"/>
  <c r="Q56" i="24"/>
  <c r="BT103" i="1"/>
  <c r="Q102" i="24"/>
  <c r="R80" i="24"/>
  <c r="Q80" i="24"/>
  <c r="R81" i="24"/>
  <c r="Q81" i="24"/>
  <c r="BT119" i="2"/>
  <c r="R119" i="22" s="1"/>
  <c r="Q119" i="22"/>
  <c r="BT50" i="2"/>
  <c r="R50" i="22" s="1"/>
  <c r="Q50" i="22"/>
  <c r="R51" i="22"/>
  <c r="Q51" i="22"/>
  <c r="BT91" i="2"/>
  <c r="R91" i="22" s="1"/>
  <c r="Q91" i="22"/>
  <c r="BT124" i="2"/>
  <c r="R124" i="22" s="1"/>
  <c r="Q124" i="22"/>
  <c r="BT37" i="2"/>
  <c r="R37" i="22" s="1"/>
  <c r="Q37" i="22"/>
  <c r="BT36" i="2"/>
  <c r="R36" i="22" s="1"/>
  <c r="Q36" i="22"/>
  <c r="BT74" i="2"/>
  <c r="R74" i="22" s="1"/>
  <c r="Q74" i="22"/>
  <c r="BT8" i="2"/>
  <c r="R8" i="22" s="1"/>
  <c r="Q8" i="22"/>
  <c r="Q113" i="22"/>
  <c r="R63" i="22"/>
  <c r="Q63" i="22"/>
  <c r="BT24" i="2"/>
  <c r="R24" i="22" s="1"/>
  <c r="Q24" i="22"/>
  <c r="R114" i="22"/>
  <c r="Q114" i="22"/>
  <c r="BS1048576" i="2"/>
  <c r="BT125" i="2"/>
  <c r="R125" i="22" s="1"/>
  <c r="Q125" i="22"/>
  <c r="BT89" i="2"/>
  <c r="R89" i="22" s="1"/>
  <c r="Q89" i="22"/>
  <c r="BT68" i="2"/>
  <c r="R68" i="22" s="1"/>
  <c r="Q68" i="22"/>
  <c r="R72" i="22"/>
  <c r="Q72" i="22"/>
  <c r="R94" i="22"/>
  <c r="Q94" i="22"/>
  <c r="BT58" i="2"/>
  <c r="R58" i="22" s="1"/>
  <c r="Q58" i="22"/>
  <c r="BT98" i="2"/>
  <c r="R98" i="22" s="1"/>
  <c r="Q98" i="22"/>
  <c r="BT64" i="2"/>
  <c r="R64" i="22" s="1"/>
  <c r="Q64" i="22"/>
  <c r="BT27" i="2"/>
  <c r="R27" i="22" s="1"/>
  <c r="Q27" i="22"/>
  <c r="BT86" i="2"/>
  <c r="R86" i="22" s="1"/>
  <c r="Q86" i="22"/>
  <c r="BT88" i="2"/>
  <c r="R88" i="22" s="1"/>
  <c r="Q88" i="22"/>
  <c r="BT21" i="2"/>
  <c r="R21" i="22" s="1"/>
  <c r="Q21" i="22"/>
  <c r="R107" i="22"/>
  <c r="Q107" i="22"/>
  <c r="BT84" i="2"/>
  <c r="R84" i="22" s="1"/>
  <c r="Q84" i="22"/>
  <c r="BT9" i="2"/>
  <c r="R9" i="22" s="1"/>
  <c r="Q9" i="22"/>
  <c r="BT45" i="2"/>
  <c r="R45" i="22" s="1"/>
  <c r="Q45" i="22"/>
  <c r="BT28" i="2"/>
  <c r="R28" i="22" s="1"/>
  <c r="Q28" i="22"/>
  <c r="BT76" i="2"/>
  <c r="R76" i="22" s="1"/>
  <c r="Q76" i="22"/>
  <c r="BT80" i="2"/>
  <c r="R80" i="22" s="1"/>
  <c r="Q80" i="22"/>
  <c r="R95" i="22"/>
  <c r="Q95" i="22"/>
  <c r="BT102" i="2"/>
  <c r="R102" i="22" s="1"/>
  <c r="Q102" i="22"/>
  <c r="BT71" i="2"/>
  <c r="R71" i="22" s="1"/>
  <c r="Q71" i="22"/>
  <c r="BT55" i="2"/>
  <c r="R55" i="22" s="1"/>
  <c r="Q55" i="22"/>
  <c r="BT46" i="2"/>
  <c r="R46" i="22" s="1"/>
  <c r="Q46" i="22"/>
  <c r="BT19" i="2"/>
  <c r="R19" i="22" s="1"/>
  <c r="Q19" i="22"/>
  <c r="BT111" i="2"/>
  <c r="R111" i="22" s="1"/>
  <c r="Q111" i="22"/>
  <c r="BT59" i="2"/>
  <c r="R59" i="22" s="1"/>
  <c r="Q59" i="22"/>
  <c r="R77" i="22"/>
  <c r="Q77" i="22"/>
  <c r="BT60" i="2"/>
  <c r="R60" i="22" s="1"/>
  <c r="Q60" i="22"/>
  <c r="BT73" i="2"/>
  <c r="R73" i="22" s="1"/>
  <c r="Q73" i="22"/>
  <c r="BT14" i="2"/>
  <c r="R14" i="22" s="1"/>
  <c r="Q14" i="22"/>
  <c r="BT69" i="2"/>
  <c r="R69" i="22" s="1"/>
  <c r="Q69" i="22"/>
  <c r="BT44" i="2"/>
  <c r="R44" i="22" s="1"/>
  <c r="Q44" i="22"/>
  <c r="BT42" i="2"/>
  <c r="R42" i="22" s="1"/>
  <c r="Q42" i="22"/>
  <c r="BT47" i="2"/>
  <c r="R47" i="22" s="1"/>
  <c r="Q47" i="22"/>
  <c r="R85" i="22"/>
  <c r="Q85" i="22"/>
  <c r="BT78" i="2"/>
  <c r="R78" i="22" s="1"/>
  <c r="Q78" i="22"/>
  <c r="BT110" i="2"/>
  <c r="R110" i="22" s="1"/>
  <c r="Q110" i="22"/>
  <c r="BT32" i="2"/>
  <c r="R32" i="22" s="1"/>
  <c r="Q32" i="22"/>
  <c r="BT30" i="2"/>
  <c r="R30" i="22" s="1"/>
  <c r="Q30" i="22"/>
  <c r="BT57" i="2"/>
  <c r="R57" i="22" s="1"/>
  <c r="Q57" i="22"/>
  <c r="R67" i="22"/>
  <c r="BT34" i="2"/>
  <c r="R34" i="22" s="1"/>
  <c r="Q34" i="22"/>
  <c r="BT92" i="2"/>
  <c r="R92" i="22" s="1"/>
  <c r="Q92" i="22"/>
  <c r="BT35" i="2"/>
  <c r="R35" i="22" s="1"/>
  <c r="Q35" i="22"/>
  <c r="BT101" i="2"/>
  <c r="R101" i="22" s="1"/>
  <c r="Q101" i="22"/>
  <c r="BT75" i="2"/>
  <c r="R75" i="22" s="1"/>
  <c r="Q75" i="22"/>
  <c r="BT81" i="2"/>
  <c r="R81" i="22" s="1"/>
  <c r="Q81" i="22"/>
  <c r="Q17" i="22"/>
  <c r="BT17" i="2"/>
  <c r="R17" i="22" s="1"/>
  <c r="BT25" i="2"/>
  <c r="R25" i="22" s="1"/>
  <c r="Q25" i="22"/>
  <c r="BT109" i="2"/>
  <c r="R109" i="22" s="1"/>
  <c r="Q109" i="22"/>
  <c r="BT79" i="2"/>
  <c r="R79" i="22" s="1"/>
  <c r="Q79" i="22"/>
  <c r="BT82" i="2"/>
  <c r="R82" i="22" s="1"/>
  <c r="Q82" i="22"/>
  <c r="BT54" i="2"/>
  <c r="R54" i="22" s="1"/>
  <c r="Q54" i="22"/>
  <c r="R100" i="22"/>
  <c r="Q100" i="22"/>
  <c r="BT106" i="2"/>
  <c r="R106" i="22" s="1"/>
  <c r="Q106" i="22"/>
  <c r="BT70" i="2"/>
  <c r="R70" i="22" s="1"/>
  <c r="Q70" i="22"/>
  <c r="R96" i="22"/>
  <c r="Q96" i="22"/>
  <c r="BT118" i="2"/>
  <c r="R118" i="22" s="1"/>
  <c r="Q118" i="22"/>
  <c r="R48" i="22"/>
  <c r="Q48" i="22"/>
  <c r="BT43" i="2"/>
  <c r="R43" i="22" s="1"/>
  <c r="Q43" i="22"/>
  <c r="BT104" i="1"/>
  <c r="R103" i="24" s="1"/>
  <c r="Q103" i="24"/>
</calcChain>
</file>

<file path=xl/sharedStrings.xml><?xml version="1.0" encoding="utf-8"?>
<sst xmlns="http://schemas.openxmlformats.org/spreadsheetml/2006/main" count="1811" uniqueCount="412">
  <si>
    <t>ROLL NO</t>
  </si>
  <si>
    <t>STUDENT NAME (AS PER 10TH MARHEET)</t>
  </si>
  <si>
    <t xml:space="preserve">ENGLISH </t>
  </si>
  <si>
    <t>HINDI / IT</t>
  </si>
  <si>
    <t>BK &amp; A/C</t>
  </si>
  <si>
    <t>OC</t>
  </si>
  <si>
    <t>MATHS 1</t>
  </si>
  <si>
    <t>MATHS 2</t>
  </si>
  <si>
    <t>Maths Total</t>
  </si>
  <si>
    <t>AADYA GIRISH KUMAR</t>
  </si>
  <si>
    <t>AASHAY AMIT REGE</t>
  </si>
  <si>
    <t>ACHARYA BINDUSHREE BALU</t>
  </si>
  <si>
    <t>ADVAIT VIKRAM</t>
  </si>
  <si>
    <t>AKSHAY KRISHNA KUMAR</t>
  </si>
  <si>
    <t>ALOK NAIR</t>
  </si>
  <si>
    <t>AMBRE PARTH DHANANJAY</t>
  </si>
  <si>
    <t>AMIN NIHAL PREMNATH AMIN</t>
  </si>
  <si>
    <t>ANCHAN PRATIK VISHWANATH</t>
  </si>
  <si>
    <t>ANMEY VIJAY GHADGE</t>
  </si>
  <si>
    <t>ANUPRIYA SANIL KUMAR</t>
  </si>
  <si>
    <t>ARYAN SREEDHAR NAIR</t>
  </si>
  <si>
    <t>ASHWINIRAI PALARAMAN</t>
  </si>
  <si>
    <t>ATHARV BHONDVE</t>
  </si>
  <si>
    <t>ATHARVA RAJESH IYER</t>
  </si>
  <si>
    <t>B AAKASH ACHARI</t>
  </si>
  <si>
    <t>BELCHADA SOWMYA KAMALAKSHA</t>
  </si>
  <si>
    <t>BHOIR KUSHAL SACHIN</t>
  </si>
  <si>
    <t>DANIEL AAYAN JOHNMILLER</t>
  </si>
  <si>
    <t>DEVADIGA SHREYA ASHOK</t>
  </si>
  <si>
    <t>DHEIRYA HITEN LAHERU</t>
  </si>
  <si>
    <t>DHOTRE KALPATARU BHIMAYYA</t>
  </si>
  <si>
    <t>DIVYA BOOPATHI MUDALIYAR</t>
  </si>
  <si>
    <t>DIVYAL MHATRE</t>
  </si>
  <si>
    <t>DUDUKE AHMED IMRAN</t>
  </si>
  <si>
    <t>ESSAI AARAV SUNIL</t>
  </si>
  <si>
    <t>GAONKAR VAIDEHI VIJAYDATTA</t>
  </si>
  <si>
    <t>GHARAT PRIYAL SAMIR</t>
  </si>
  <si>
    <t>GOTE VEDANT RAMLING</t>
  </si>
  <si>
    <t>HANEHALLI ADITYA DEEPAK</t>
  </si>
  <si>
    <t>JAGE VEDANT SANDEEP</t>
  </si>
  <si>
    <t>JAGRUTI PRAFUL GAIKWAD</t>
  </si>
  <si>
    <t>JAYA CHRISTINA ELISHA</t>
  </si>
  <si>
    <t>JOHN NEIL DAVID</t>
  </si>
  <si>
    <t>KADAM ARYAN ANAND</t>
  </si>
  <si>
    <t>KANCHARLA JANANI SRAVANI SHANKAR</t>
  </si>
  <si>
    <t>KHADIJA JAMADAR</t>
  </si>
  <si>
    <t>KONAR KALIAMMAL MASANAM</t>
  </si>
  <si>
    <t>KONAR MAHALAXMI VANUMAMALAI</t>
  </si>
  <si>
    <t>KONERI ANUSHKA PRABHAKAR</t>
  </si>
  <si>
    <t>KRISHIV ANKIT AGGARWAL</t>
  </si>
  <si>
    <t>LAKSHYA LAKSHMINARAYANAN CHAKRAVARTHY</t>
  </si>
  <si>
    <t>MADHAN SELVAKUMAR</t>
  </si>
  <si>
    <t>MAHESH BHARAT VAVIYA</t>
  </si>
  <si>
    <t>MAHI CHAUDHARY</t>
  </si>
  <si>
    <t>MANGE KRISH ARVIND</t>
  </si>
  <si>
    <t>MANISH VELMURUGAN</t>
  </si>
  <si>
    <t>MARDAM KUSUMANJALI RAJENDRAPRASAD</t>
  </si>
  <si>
    <t>MEET SATISH PANDYA</t>
  </si>
  <si>
    <t>MERLA DHEERAJ BHASKAR</t>
  </si>
  <si>
    <t>MHATRE HARSHALI RAMESH</t>
  </si>
  <si>
    <t>MHATRE NEIL GUPESH</t>
  </si>
  <si>
    <t>MISHRA HARIOM HARERAM</t>
  </si>
  <si>
    <t>MOHAMMED MUBIN MEERA MOHIDEEN</t>
  </si>
  <si>
    <t>MOHD FAIZAN ABDUL JABBAR</t>
  </si>
  <si>
    <t>MUDALIYAR MAHA ANNAMALAI</t>
  </si>
  <si>
    <t>NADAR ADITYA PRABHAKAR</t>
  </si>
  <si>
    <t>NADAR BENSON PAUL</t>
  </si>
  <si>
    <t>NADAR JANANI EDWINPAUL</t>
  </si>
  <si>
    <t>NALAWADE ATHARVA NILESH</t>
  </si>
  <si>
    <t>NAMBIATH SRISHA AJIT</t>
  </si>
  <si>
    <t>NIALL TITTO</t>
  </si>
  <si>
    <t>NIRMAL NITINKUMAR GYANCHANDRA</t>
  </si>
  <si>
    <t>NISREEN HUZEFA POONAWALA</t>
  </si>
  <si>
    <t>NIVED T M MURALI T N</t>
  </si>
  <si>
    <t>PATIL CHINMAYI RAJENDRA</t>
  </si>
  <si>
    <t>PATIL SAEE AMOL</t>
  </si>
  <si>
    <t>PATTEM PRACHI LOKNATH</t>
  </si>
  <si>
    <t>PAWAR ISHANT VINOD</t>
  </si>
  <si>
    <t>POOJARI MEGHANA GOPAL</t>
  </si>
  <si>
    <t>POOJARI SUJIT SADANAND</t>
  </si>
  <si>
    <t>POOJARI SUMIT SADANAND</t>
  </si>
  <si>
    <t>POOJARY KRITHIK UDAY</t>
  </si>
  <si>
    <t xml:space="preserve"> POOJARY UDITH</t>
  </si>
  <si>
    <t>PRANAYA YEDAVI</t>
  </si>
  <si>
    <t>PRARTHANA MISHRA</t>
  </si>
  <si>
    <t>PRISHA KRISHNAN</t>
  </si>
  <si>
    <t>PRIYA ARUMUGAM</t>
  </si>
  <si>
    <t>PUJARI VISHAL VASANTHA</t>
  </si>
  <si>
    <t>R SREE VARSHAN RAMASWAMY</t>
  </si>
  <si>
    <t>RANVEER MANOHAR SALESHA</t>
  </si>
  <si>
    <t>REDDIAR VEDAANTH RAJU</t>
  </si>
  <si>
    <t>RYAN ROOSEVELT MATHEW</t>
  </si>
  <si>
    <t>SAACHI MENDON</t>
  </si>
  <si>
    <t>SADAF MOHAMMED NASEERULLAH</t>
  </si>
  <si>
    <t>SALIAN KAVYA UMESH</t>
  </si>
  <si>
    <t>SAMAIRA SIRAJUDDIN SHAIKH</t>
  </si>
  <si>
    <t>SAYEE HARESH TANDEL</t>
  </si>
  <si>
    <t>SHAIKH ANAM ZAKIR</t>
  </si>
  <si>
    <t>SHAIKH MOHAMMED AKMAL FAZALUDDIN</t>
  </si>
  <si>
    <t>SHAIKH MOHD SAAD MOHD ARIF</t>
  </si>
  <si>
    <t>SHEIKH ALINA ABDUL AZIZ</t>
  </si>
  <si>
    <t>SHETTY BHOMIKA UDAYA</t>
  </si>
  <si>
    <t>SHETTY DEEPTHI VISHWANATH</t>
  </si>
  <si>
    <t>SHETTY NIYATI MOHAN</t>
  </si>
  <si>
    <t>SHETTY RASHMITH RAJENDRA</t>
  </si>
  <si>
    <t>SHETTY TANISHKA SOMNATH</t>
  </si>
  <si>
    <t>SHOBITA REVANASIDDAPPA</t>
  </si>
  <si>
    <t>SHREYA DEVENDRA PYATI</t>
  </si>
  <si>
    <t>SHUBHAM AMIT DALVI</t>
  </si>
  <si>
    <t>SONAWANE ANUSHKA KAILAS</t>
  </si>
  <si>
    <t>SUNETRA KRISHNAN</t>
  </si>
  <si>
    <t>TANVI PRAKASH SALIAN</t>
  </si>
  <si>
    <t>TARUN PILLAI</t>
  </si>
  <si>
    <t>TRUSHALA AMIT GHARAT</t>
  </si>
  <si>
    <t>VAISHNAVI KORKE</t>
  </si>
  <si>
    <t>VICHARE HARSH SANJAY</t>
  </si>
  <si>
    <t>VRUTI BHAVESH CHAVDA</t>
  </si>
  <si>
    <t>YADAVAR MUKKESH MANIVANNAN</t>
  </si>
  <si>
    <t>YASH BHASKER PATYAM</t>
  </si>
  <si>
    <t>YATISH DANGI</t>
  </si>
  <si>
    <t>ZANJE ANKITA DIGAMBAR</t>
  </si>
  <si>
    <t>NERALALY ALBERT SAJI</t>
  </si>
  <si>
    <t>KHAMBHLYA BHAKTI SURESH</t>
  </si>
  <si>
    <t>UBARE ABEERAH JAVED</t>
  </si>
  <si>
    <t>ENOCH SHAJI KURUVILLA</t>
  </si>
  <si>
    <t>NIHARIKA DAMODHER ACHARYA</t>
  </si>
  <si>
    <t>MOKSH RAJU KOLI</t>
  </si>
  <si>
    <t>MEHTA RISHI RAJESH</t>
  </si>
  <si>
    <t>AGRAWAL RITH MUKESH</t>
  </si>
  <si>
    <t>ARYA PRAVIN SHAH</t>
  </si>
  <si>
    <t>BARI DRUSHTI PRAFULL</t>
  </si>
  <si>
    <t>BAWASKAR ANIKET KASHINATH</t>
  </si>
  <si>
    <t>BHOLE ARPITA VILAS</t>
  </si>
  <si>
    <t>BISHT SIMRAN PADAM</t>
  </si>
  <si>
    <t>DAMA NISHA</t>
  </si>
  <si>
    <t>DAVID JOHN</t>
  </si>
  <si>
    <t>DHANDRUT MANSI GANESH</t>
  </si>
  <si>
    <t>DUDWADKAR ARCHITA MAHESH</t>
  </si>
  <si>
    <t>GAMI KRISHNA JEETU</t>
  </si>
  <si>
    <t>GHAG VISHNU MAHENDRA</t>
  </si>
  <si>
    <t>GHORPADE SAMRUDHI SACHIN</t>
  </si>
  <si>
    <t>GUNJ RAJU VORA</t>
  </si>
  <si>
    <t>HAMDULAY ZAINULABIDIN ZUBAIR</t>
  </si>
  <si>
    <t>KAMBLE SUMEDH MANGESH</t>
  </si>
  <si>
    <t>KANOJIA MEHUL VIRENDRA</t>
  </si>
  <si>
    <t>KANSAL PALAK SANJAY</t>
  </si>
  <si>
    <t>KARMARKAR MANAVA AMEYA</t>
  </si>
  <si>
    <t>KESARKAR DHRUV SACHIN</t>
  </si>
  <si>
    <t>KHATU JUI LAXMIKANT</t>
  </si>
  <si>
    <t>KOTHAVLE OWEE SANJAY</t>
  </si>
  <si>
    <t>MAAHI GAGAN VOHRA</t>
  </si>
  <si>
    <t>MAGDUM JANHAVI SHAILESH</t>
  </si>
  <si>
    <t>MALI AARUSHI NILESH</t>
  </si>
  <si>
    <t>MAURYA VAISHNAVI DASHARATH</t>
  </si>
  <si>
    <t>MERA TEJAS GOVIND</t>
  </si>
  <si>
    <t>MHATRE SHRUTI NILESH</t>
  </si>
  <si>
    <t>PAL TANIA CHANDICHARAN</t>
  </si>
  <si>
    <t>PALOJI MOHAMMAD SAAD AFZAL</t>
  </si>
  <si>
    <t>PATIL ANUSHKA SANJAY</t>
  </si>
  <si>
    <t>PATIL RUCHI ANANDA</t>
  </si>
  <si>
    <t>PATIL SHRAWANI GANESH</t>
  </si>
  <si>
    <t>PAWAR VEDANT ANANDA</t>
  </si>
  <si>
    <t>PILLAI VAISHNAV SATHYAPAL</t>
  </si>
  <si>
    <t>POOJARI BHUVITH VENKKAPPA</t>
  </si>
  <si>
    <t>PRADEEP PATEL</t>
  </si>
  <si>
    <t>RAJ RANITA RAVI</t>
  </si>
  <si>
    <t>SAKSHI R SHETTY</t>
  </si>
  <si>
    <t>SANGALE RAJ ASHOK</t>
  </si>
  <si>
    <t>SARTHAK SHIVAJI NIRMALE</t>
  </si>
  <si>
    <t>SHEDAGE MANAS MANGESH</t>
  </si>
  <si>
    <t>SHETTY SHREYA RAJENDRA</t>
  </si>
  <si>
    <t>SHINDE MANJIRI MAHESH</t>
  </si>
  <si>
    <t>SHINDE SAWRI SAMIR</t>
  </si>
  <si>
    <t>SHINGADE HRISHIKESH ANTU</t>
  </si>
  <si>
    <t>SISODIA DAKSH GAUTAM</t>
  </si>
  <si>
    <t>SNEHA ANIL NAIK</t>
  </si>
  <si>
    <t>SONI PARIDHI ASHISH</t>
  </si>
  <si>
    <t>SURVE VISHESH VISHVANATH</t>
  </si>
  <si>
    <t>TANDEL MANTHAN KESARINATH</t>
  </si>
  <si>
    <t>TELI SNEHAL ANAND</t>
  </si>
  <si>
    <t>TIWARI PALAK VEDPRAKASH</t>
  </si>
  <si>
    <t>VARUN PANWAR</t>
  </si>
  <si>
    <t>WADKAR ARYA PANDURANG</t>
  </si>
  <si>
    <t>YERALKAR SWAPNIL MAHESH</t>
  </si>
  <si>
    <t>ZAWARE GANESH SANTOSH</t>
  </si>
  <si>
    <t>DHEERAJ AIL</t>
  </si>
  <si>
    <t>AARYAN  ASHISH PANDEY</t>
  </si>
  <si>
    <t>ADYA JAGANNATHA SHETTY</t>
  </si>
  <si>
    <t>AASTHA KAILASH HASWANI</t>
  </si>
  <si>
    <t>ABDUL MATIN HAJI MOHAMMED</t>
  </si>
  <si>
    <t>AKSHAYALAKSHMI B</t>
  </si>
  <si>
    <t>ALTHAF MOHAMMED MUSTAFA</t>
  </si>
  <si>
    <t>ANJANAA JAYAPRAKASH</t>
  </si>
  <si>
    <t>ANUSHREE RAMESH</t>
  </si>
  <si>
    <t>ARYAN ASHISH</t>
  </si>
  <si>
    <t>ASHAAZ ABUBAKAR SHAIKH</t>
  </si>
  <si>
    <t>BHANUSHALI PAYAL HITESH</t>
  </si>
  <si>
    <t>BHANUSHALI URVI SHANKAR</t>
  </si>
  <si>
    <t>BHOKRE MUGDHA UDAY</t>
  </si>
  <si>
    <t>BUGDE YASHAS ANIL</t>
  </si>
  <si>
    <t>CHAVAN PRANISHA VINESH</t>
  </si>
  <si>
    <t>DESAI VIBHUTI ANIL</t>
  </si>
  <si>
    <t>FARAAZ HUSSAIN MEHBOOB HUSSAIN</t>
  </si>
  <si>
    <t>GAVHANE JIDNYASA BHALCHANDRA</t>
  </si>
  <si>
    <t>GOYAL REIA SAURABH</t>
  </si>
  <si>
    <t>GUND POOJA SANTOSH</t>
  </si>
  <si>
    <t>GUPTA AYUSH BAIDYANATH</t>
  </si>
  <si>
    <t>HIREMATH PRIYANKA SHADAKSHARI</t>
  </si>
  <si>
    <t>ISHITA GAIKWAD</t>
  </si>
  <si>
    <t>JAIN RASHI BHARAT</t>
  </si>
  <si>
    <t>JANA SANKET SANJAY</t>
  </si>
  <si>
    <t>JETHWA PRIYAM SAMEER</t>
  </si>
  <si>
    <t>KAROTRA ROMIN BHARAT</t>
  </si>
  <si>
    <t>KASAR ABHANG PRASHANT</t>
  </si>
  <si>
    <t>KAWLE ARYA AJIT</t>
  </si>
  <si>
    <t>KHARAT TANISHK UDDHAV</t>
  </si>
  <si>
    <t>KONAR SELVI ARUMUGAM</t>
  </si>
  <si>
    <t>KURAKUL NIRMAY PRASHANT</t>
  </si>
  <si>
    <t>LABBAI ZAINAB SHAMSUDDIN</t>
  </si>
  <si>
    <t>MADHAVI MUDRA SACHIN</t>
  </si>
  <si>
    <t>MANNA DEEPIKA NAKUL</t>
  </si>
  <si>
    <t>MHATRE SARA SACHIN</t>
  </si>
  <si>
    <t>NAIR ADHIRA VINOD</t>
  </si>
  <si>
    <t>NEEL NAVIN SHEWALE</t>
  </si>
  <si>
    <t>NIHAAL SANJAY NANDI</t>
  </si>
  <si>
    <t>PARKAR REHAN MUSHTAQ</t>
  </si>
  <si>
    <t>PATIL MAHI SANTOSH</t>
  </si>
  <si>
    <t>RISHABH BALASUBRAMANIAM</t>
  </si>
  <si>
    <t>RISHI JITENDRA OBEROI</t>
  </si>
  <si>
    <t>ROZY SHAIKH</t>
  </si>
  <si>
    <t>SAWANT PRITI JITENDRA</t>
  </si>
  <si>
    <t>SEJAL JEETARAM CHOUDHARY</t>
  </si>
  <si>
    <t>SHAIKH AFIA ABDUL AJEES</t>
  </si>
  <si>
    <t>SHAIKH MUSFIRAH SAJID</t>
  </si>
  <si>
    <t>SHAIKH TABASSUM MOHAMMED ANWAR</t>
  </si>
  <si>
    <t>SHAIKH ZOYA WASIM</t>
  </si>
  <si>
    <t>SHAISHWATHI VEERAMANI</t>
  </si>
  <si>
    <t>SHARDUL KISHOR HAJARE</t>
  </si>
  <si>
    <t>SHARMA RASHMIT RAMCHANDRAN</t>
  </si>
  <si>
    <t>SHARMA SHREYA RAMCHANDRAN</t>
  </si>
  <si>
    <t>SHETTY AMOGH DINESH</t>
  </si>
  <si>
    <t>SHETTY DHANESH RAJESH</t>
  </si>
  <si>
    <t>SHETTY VRUDDHI RAVI</t>
  </si>
  <si>
    <t>SHRUTHI SHIVKUMAR</t>
  </si>
  <si>
    <t>SINGH ABHISHEK SHAILENDRA</t>
  </si>
  <si>
    <t>TANISHA SUNIL KIRTE</t>
  </si>
  <si>
    <t>VIDHATE NIHAR ASHOK</t>
  </si>
  <si>
    <t>YADAV URVAKSH SURENDRA</t>
  </si>
  <si>
    <t>AB</t>
  </si>
  <si>
    <t xml:space="preserve">HINDI </t>
  </si>
  <si>
    <t>STUDENT NAME</t>
  </si>
  <si>
    <t>SIES JUNIOR COLLEGE OF COMMERCE, NERUL</t>
  </si>
  <si>
    <t xml:space="preserve">  </t>
  </si>
  <si>
    <t>QURESHI MARIYAH MOHAMMED</t>
  </si>
  <si>
    <t>ENGLISH</t>
  </si>
  <si>
    <t>UNIT I</t>
  </si>
  <si>
    <t>TERM I</t>
  </si>
  <si>
    <t>Economics</t>
  </si>
  <si>
    <t>B.K. &amp; A/C</t>
  </si>
  <si>
    <t>MATHS I</t>
  </si>
  <si>
    <t>MATHS II</t>
  </si>
  <si>
    <t>ECONOMICS</t>
  </si>
  <si>
    <t>S.P</t>
  </si>
  <si>
    <t>SP</t>
  </si>
  <si>
    <t>UNIT II</t>
  </si>
  <si>
    <t>maths I</t>
  </si>
  <si>
    <t>maths II</t>
  </si>
  <si>
    <t>SIES JUNIOR COLLEGE OF COMMERCE NERUL</t>
  </si>
  <si>
    <t>Subjects</t>
  </si>
  <si>
    <t>CLASS - FYJC 2024-2025</t>
  </si>
  <si>
    <t xml:space="preserve">ACADEMIC RECORD </t>
  </si>
  <si>
    <t>Total</t>
  </si>
  <si>
    <t>IT Pract</t>
  </si>
  <si>
    <t>IT Annual</t>
  </si>
  <si>
    <t>IT UNIT I</t>
  </si>
  <si>
    <t>IT TERM I</t>
  </si>
  <si>
    <t>IT UNIT II</t>
  </si>
  <si>
    <t>IT Total</t>
  </si>
  <si>
    <t>ENG UNIT I</t>
  </si>
  <si>
    <t>ENG TERM I</t>
  </si>
  <si>
    <t>ENGUNIT II</t>
  </si>
  <si>
    <t>ENG INT</t>
  </si>
  <si>
    <t>ENG ANNUAL</t>
  </si>
  <si>
    <t>ENG TOT</t>
  </si>
  <si>
    <t>ENG AVG</t>
  </si>
  <si>
    <t>ECO INT</t>
  </si>
  <si>
    <t>ECO ANNUAL</t>
  </si>
  <si>
    <t>ECO TOT</t>
  </si>
  <si>
    <t>ECO AVG</t>
  </si>
  <si>
    <t>ECO UNIT I</t>
  </si>
  <si>
    <t>ECO TERM I</t>
  </si>
  <si>
    <t>ECO UNIT II</t>
  </si>
  <si>
    <t>IT AVG</t>
  </si>
  <si>
    <r>
      <t xml:space="preserve">ENG </t>
    </r>
    <r>
      <rPr>
        <b/>
        <sz val="8"/>
        <color theme="1"/>
        <rFont val="Calibri"/>
        <family val="2"/>
        <scheme val="minor"/>
      </rPr>
      <t>GRACE</t>
    </r>
  </si>
  <si>
    <r>
      <t xml:space="preserve">IT </t>
    </r>
    <r>
      <rPr>
        <b/>
        <sz val="8"/>
        <color theme="1"/>
        <rFont val="Calibri"/>
        <family val="2"/>
        <scheme val="minor"/>
      </rPr>
      <t>GRACE</t>
    </r>
  </si>
  <si>
    <r>
      <t xml:space="preserve">ECO </t>
    </r>
    <r>
      <rPr>
        <b/>
        <sz val="8"/>
        <color theme="1"/>
        <rFont val="Calibri"/>
        <family val="2"/>
        <scheme val="minor"/>
      </rPr>
      <t>GRACE</t>
    </r>
  </si>
  <si>
    <t>BK INT</t>
  </si>
  <si>
    <t>BK UNIT I</t>
  </si>
  <si>
    <t>BK TERM I</t>
  </si>
  <si>
    <t>BK UNIT II</t>
  </si>
  <si>
    <t>BK ANNUAL</t>
  </si>
  <si>
    <t>BK TOT</t>
  </si>
  <si>
    <t>BK AVG</t>
  </si>
  <si>
    <r>
      <t xml:space="preserve">BK </t>
    </r>
    <r>
      <rPr>
        <b/>
        <sz val="8"/>
        <color theme="1"/>
        <rFont val="Calibri"/>
        <family val="2"/>
        <scheme val="minor"/>
      </rPr>
      <t>GRACE</t>
    </r>
  </si>
  <si>
    <t>OC INT</t>
  </si>
  <si>
    <t>OC ANNUAL</t>
  </si>
  <si>
    <t>OC TOT</t>
  </si>
  <si>
    <t>OC AVG</t>
  </si>
  <si>
    <r>
      <t xml:space="preserve">OC </t>
    </r>
    <r>
      <rPr>
        <b/>
        <sz val="8"/>
        <color theme="1"/>
        <rFont val="Calibri"/>
        <family val="2"/>
        <scheme val="minor"/>
      </rPr>
      <t>GRACE</t>
    </r>
  </si>
  <si>
    <t>MATHS INT</t>
  </si>
  <si>
    <t>MATHS ANNUAL</t>
  </si>
  <si>
    <t>MATH I ANNUAL</t>
  </si>
  <si>
    <t>MATH II ANNUAL</t>
  </si>
  <si>
    <t>MATH II  TERM I</t>
  </si>
  <si>
    <t>MATH II    UNIT I</t>
  </si>
  <si>
    <t>MATH II UNIT II</t>
  </si>
  <si>
    <t>MATHSUNIT I</t>
  </si>
  <si>
    <t>MATHS TERM I</t>
  </si>
  <si>
    <t>MATHS UNIT II</t>
  </si>
  <si>
    <t>MATHS TOT</t>
  </si>
  <si>
    <t>MATHS AVG</t>
  </si>
  <si>
    <t>MATHS GRACE</t>
  </si>
  <si>
    <t>SP INT</t>
  </si>
  <si>
    <t>SP UNIT I</t>
  </si>
  <si>
    <t>SP TERM I</t>
  </si>
  <si>
    <t>SP UNIT II</t>
  </si>
  <si>
    <t>OC UNIT I</t>
  </si>
  <si>
    <t>OC TERM 1</t>
  </si>
  <si>
    <t>OC UNIT II</t>
  </si>
  <si>
    <t>MATHS I UNIT I</t>
  </si>
  <si>
    <t>MATHS I TERM I</t>
  </si>
  <si>
    <t>MATHS I UNIT II</t>
  </si>
  <si>
    <t>FYJC ( DIV A )  MARKSHEET - 2024-2025</t>
  </si>
  <si>
    <t>FYJC ( DIV B ) MARKSHEET -  2024 - 2025</t>
  </si>
  <si>
    <t>EVS</t>
  </si>
  <si>
    <t>PE</t>
  </si>
  <si>
    <t>Total Grace</t>
  </si>
  <si>
    <t>TOTAL</t>
  </si>
  <si>
    <t>%</t>
  </si>
  <si>
    <t>Result</t>
  </si>
  <si>
    <t>Subject</t>
  </si>
  <si>
    <t>sp</t>
  </si>
  <si>
    <r>
      <t xml:space="preserve">ECO </t>
    </r>
    <r>
      <rPr>
        <b/>
        <sz val="8"/>
        <rFont val="Calibri"/>
        <family val="2"/>
        <scheme val="minor"/>
      </rPr>
      <t>GRACE</t>
    </r>
  </si>
  <si>
    <t>Hindi UNIT I</t>
  </si>
  <si>
    <t>Hindi TERM I</t>
  </si>
  <si>
    <t>Hindi UNIT II</t>
  </si>
  <si>
    <t>Hindi Pract</t>
  </si>
  <si>
    <t>Hindi Annual</t>
  </si>
  <si>
    <t>Hindi Total</t>
  </si>
  <si>
    <t>Hindi AVG</t>
  </si>
  <si>
    <r>
      <t xml:space="preserve">Hindi </t>
    </r>
    <r>
      <rPr>
        <b/>
        <sz val="8"/>
        <color theme="1"/>
        <rFont val="Calibri"/>
        <family val="2"/>
        <scheme val="minor"/>
      </rPr>
      <t>GRACE</t>
    </r>
  </si>
  <si>
    <t xml:space="preserve">ENG </t>
  </si>
  <si>
    <t xml:space="preserve">ECO </t>
  </si>
  <si>
    <t>BK</t>
  </si>
  <si>
    <t xml:space="preserve">OC </t>
  </si>
  <si>
    <t>MATH</t>
  </si>
  <si>
    <t>Per.</t>
  </si>
  <si>
    <t>ab</t>
  </si>
  <si>
    <t xml:space="preserve"> Hindi</t>
  </si>
  <si>
    <t xml:space="preserve">AVERAGE MARKSHEET </t>
  </si>
  <si>
    <t>FYJC A  2024-2025</t>
  </si>
  <si>
    <t>Eng Grace</t>
  </si>
  <si>
    <t>Hindi Grace</t>
  </si>
  <si>
    <t>Eco Grace</t>
  </si>
  <si>
    <t>Bk Grace</t>
  </si>
  <si>
    <t>Oc Grace</t>
  </si>
  <si>
    <t>Maths Grace</t>
  </si>
  <si>
    <t>A7</t>
  </si>
  <si>
    <t>A100</t>
  </si>
  <si>
    <t>B21</t>
  </si>
  <si>
    <t>B83</t>
  </si>
  <si>
    <t>A</t>
  </si>
  <si>
    <t>B</t>
  </si>
  <si>
    <t>C</t>
  </si>
  <si>
    <t>D</t>
  </si>
  <si>
    <t>PROMOTED</t>
  </si>
  <si>
    <t>FYJC A</t>
  </si>
  <si>
    <t>FYJC B</t>
  </si>
  <si>
    <t>*22</t>
  </si>
  <si>
    <t>SR NO</t>
  </si>
  <si>
    <t>FYJC MARKSHEET 2024-2025</t>
  </si>
  <si>
    <t>Grace Total</t>
  </si>
  <si>
    <t>Roll no</t>
  </si>
  <si>
    <t>STUDENTS NAME</t>
  </si>
  <si>
    <t>en_ac</t>
  </si>
  <si>
    <t>Hin/IT_ac</t>
  </si>
  <si>
    <t>Sco_ac</t>
  </si>
  <si>
    <t>Bk_ac</t>
  </si>
  <si>
    <t>Oc_ac</t>
  </si>
  <si>
    <t>SP_ac</t>
  </si>
  <si>
    <t>sp ANNUAL</t>
  </si>
  <si>
    <t>sp TOT</t>
  </si>
  <si>
    <t>sp AVG</t>
  </si>
  <si>
    <t>358 #2</t>
  </si>
  <si>
    <t>359 #1</t>
  </si>
  <si>
    <t>GRADE 1</t>
  </si>
  <si>
    <t>FAIL</t>
  </si>
  <si>
    <t>A51</t>
  </si>
  <si>
    <t>A73</t>
  </si>
  <si>
    <t>A105</t>
  </si>
  <si>
    <t>A114</t>
  </si>
  <si>
    <t>A119</t>
  </si>
  <si>
    <t>B8</t>
  </si>
  <si>
    <t>B12</t>
  </si>
  <si>
    <t>B113</t>
  </si>
  <si>
    <t>IT/ HINDI AVG</t>
  </si>
  <si>
    <t>ENG GRACE</t>
  </si>
  <si>
    <t>IT / HINDI GRACE</t>
  </si>
  <si>
    <t>ECO GRACE</t>
  </si>
  <si>
    <t>BK GRACE</t>
  </si>
  <si>
    <t>OC GRACE</t>
  </si>
  <si>
    <t>FYJC FAILURE LIST-  [ 2024- 2025 ]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</si>
</sst>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Times New Roman"/>
      <family val="1"/>
    </font>
    <font>
      <sz val="10"/>
      <color rgb="FF2A2A2A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8"/>
      <color theme="1"/>
      <name val="Poppins"/>
    </font>
    <font>
      <sz val="10"/>
      <color theme="1"/>
      <name val="Poppins"/>
    </font>
    <font>
      <b/>
      <sz val="14"/>
      <color theme="1"/>
      <name val="Calibri"/>
      <family val="2"/>
      <scheme val="minor"/>
    </font>
    <font>
      <b/>
      <sz val="10"/>
      <color rgb="FF2A2A2A"/>
      <name val="Times New Roman"/>
      <family val="1"/>
    </font>
    <font>
      <b/>
      <sz val="8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Times New Roman"/>
      <family val="1"/>
    </font>
    <font>
      <sz val="8"/>
      <color rgb="FF2A2A2A"/>
      <name val="Times New Roman"/>
      <family val="1"/>
    </font>
    <font>
      <sz val="8"/>
      <name val="Times New Roman"/>
      <family val="1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/>
    <xf numFmtId="0" fontId="18" fillId="2" borderId="1" xfId="0" applyFont="1" applyFill="1" applyBorder="1" applyAlignment="1">
      <alignment horizontal="left" vertical="center"/>
    </xf>
    <xf numFmtId="0" fontId="19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wrapText="1"/>
    </xf>
    <xf numFmtId="0" fontId="4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/>
    <xf numFmtId="0" fontId="25" fillId="2" borderId="1" xfId="0" applyFont="1" applyFill="1" applyBorder="1" applyAlignment="1">
      <alignment wrapText="1"/>
    </xf>
    <xf numFmtId="0" fontId="25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/>
    <xf numFmtId="0" fontId="25" fillId="2" borderId="1" xfId="0" applyFont="1" applyFill="1" applyBorder="1" applyAlignment="1">
      <alignment horizontal="center"/>
    </xf>
    <xf numFmtId="2" fontId="25" fillId="2" borderId="1" xfId="0" applyNumberFormat="1" applyFont="1" applyFill="1" applyBorder="1" applyAlignment="1">
      <alignment horizontal="center"/>
    </xf>
    <xf numFmtId="0" fontId="25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29" fillId="2" borderId="1" xfId="0" applyFont="1" applyFill="1" applyBorder="1"/>
    <xf numFmtId="0" fontId="29" fillId="2" borderId="1" xfId="0" applyFont="1" applyFill="1" applyBorder="1" applyAlignment="1">
      <alignment horizontal="center" vertical="center"/>
    </xf>
    <xf numFmtId="0" fontId="29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34" fillId="2" borderId="0" xfId="0" applyFont="1" applyFill="1" applyAlignment="1">
      <alignment horizontal="left"/>
    </xf>
    <xf numFmtId="0" fontId="0" fillId="2" borderId="1" xfId="0" applyFill="1" applyBorder="1" applyAlignment="1">
      <alignment vertical="top" wrapText="1"/>
    </xf>
    <xf numFmtId="2" fontId="2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34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0" xfId="0" applyFont="1" applyFill="1"/>
    <xf numFmtId="1" fontId="0" fillId="2" borderId="1" xfId="0" applyNumberForma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2" fontId="25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7" fillId="0" borderId="0" xfId="0" applyFont="1" applyAlignment="1">
      <alignment horizontal="center"/>
    </xf>
    <xf numFmtId="0" fontId="25" fillId="3" borderId="1" xfId="0" applyFont="1" applyFill="1" applyBorder="1"/>
    <xf numFmtId="0" fontId="29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4" fillId="2" borderId="1" xfId="0" applyFont="1" applyFill="1" applyBorder="1" applyAlignment="1">
      <alignment horizontal="left" vertical="top" wrapText="1"/>
    </xf>
    <xf numFmtId="0" fontId="34" fillId="2" borderId="1" xfId="0" applyFont="1" applyFill="1" applyBorder="1" applyAlignment="1">
      <alignment horizontal="left"/>
    </xf>
    <xf numFmtId="0" fontId="34" fillId="2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left"/>
    </xf>
    <xf numFmtId="0" fontId="4" fillId="0" borderId="0" xfId="0" applyFont="1"/>
    <xf numFmtId="0" fontId="6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29" fillId="6" borderId="1" xfId="0" applyFont="1" applyFill="1" applyBorder="1" applyAlignment="1">
      <alignment horizontal="center" vertical="center"/>
    </xf>
    <xf numFmtId="0" fontId="29" fillId="6" borderId="1" xfId="0" applyFont="1" applyFill="1" applyBorder="1"/>
    <xf numFmtId="0" fontId="25" fillId="6" borderId="1" xfId="0" applyFont="1" applyFill="1" applyBorder="1" applyAlignment="1">
      <alignment horizontal="center"/>
    </xf>
    <xf numFmtId="2" fontId="25" fillId="6" borderId="1" xfId="0" applyNumberFormat="1" applyFont="1" applyFill="1" applyBorder="1" applyAlignment="1">
      <alignment horizontal="center"/>
    </xf>
    <xf numFmtId="0" fontId="25" fillId="6" borderId="1" xfId="0" applyFont="1" applyFill="1" applyBorder="1" applyAlignment="1">
      <alignment horizontal="left" vertical="center"/>
    </xf>
    <xf numFmtId="0" fontId="0" fillId="6" borderId="0" xfId="0" applyFill="1"/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/>
    <xf numFmtId="0" fontId="0" fillId="6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25" fillId="7" borderId="1" xfId="0" applyFont="1" applyFill="1" applyBorder="1"/>
    <xf numFmtId="0" fontId="25" fillId="7" borderId="1" xfId="0" applyFont="1" applyFill="1" applyBorder="1" applyAlignment="1">
      <alignment horizontal="center" vertical="center"/>
    </xf>
    <xf numFmtId="2" fontId="25" fillId="7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center" vertical="center"/>
    </xf>
    <xf numFmtId="0" fontId="41" fillId="2" borderId="1" xfId="0" applyFont="1" applyFill="1" applyBorder="1"/>
    <xf numFmtId="0" fontId="42" fillId="2" borderId="1" xfId="0" applyFont="1" applyFill="1" applyBorder="1" applyAlignment="1">
      <alignment horizontal="center" vertical="center"/>
    </xf>
    <xf numFmtId="0" fontId="42" fillId="2" borderId="1" xfId="0" applyFont="1" applyFill="1" applyBorder="1"/>
    <xf numFmtId="0" fontId="41" fillId="2" borderId="1" xfId="0" applyFont="1" applyFill="1" applyBorder="1" applyAlignment="1">
      <alignment horizontal="center"/>
    </xf>
    <xf numFmtId="2" fontId="41" fillId="2" borderId="1" xfId="0" applyNumberFormat="1" applyFont="1" applyFill="1" applyBorder="1" applyAlignment="1">
      <alignment horizontal="center"/>
    </xf>
    <xf numFmtId="0" fontId="40" fillId="2" borderId="3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left" vertical="center"/>
    </xf>
    <xf numFmtId="2" fontId="41" fillId="2" borderId="1" xfId="0" applyNumberFormat="1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25" fillId="8" borderId="1" xfId="0" applyFont="1" applyFill="1" applyBorder="1"/>
    <xf numFmtId="0" fontId="25" fillId="8" borderId="1" xfId="0" applyFont="1" applyFill="1" applyBorder="1" applyAlignment="1">
      <alignment horizontal="center" vertical="center"/>
    </xf>
    <xf numFmtId="2" fontId="25" fillId="8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25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25" fillId="9" borderId="1" xfId="0" applyFont="1" applyFill="1" applyBorder="1" applyAlignment="1">
      <alignment horizontal="center"/>
    </xf>
    <xf numFmtId="2" fontId="25" fillId="9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0" fillId="9" borderId="0" xfId="0" applyFill="1"/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6" xfId="0" applyFont="1" applyBorder="1" applyAlignment="1">
      <alignment horizont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48576"/>
  <sheetViews>
    <sheetView zoomScaleNormal="100" workbookViewId="0">
      <pane xSplit="2" ySplit="5" topLeftCell="C68" activePane="bottomRight" state="frozen"/>
      <selection pane="topRight" activeCell="C1" sqref="C1"/>
      <selection pane="bottomLeft" activeCell="A4" sqref="A4"/>
      <selection pane="bottomRight" activeCell="I5" sqref="I5"/>
    </sheetView>
  </sheetViews>
  <sheetFormatPr defaultRowHeight="15" x14ac:dyDescent="0.25"/>
  <cols>
    <col min="1" max="1" width="4.85546875" style="4" customWidth="1"/>
    <col min="2" max="2" width="33.42578125" style="25" customWidth="1"/>
    <col min="3" max="3" width="5.85546875" style="4" customWidth="1"/>
    <col min="4" max="18" width="5.7109375" style="4" customWidth="1"/>
    <col min="19" max="26" width="5.7109375" style="60" customWidth="1"/>
    <col min="27" max="50" width="5.7109375" style="4" customWidth="1"/>
    <col min="51" max="51" width="5.7109375" style="26" customWidth="1"/>
    <col min="52" max="58" width="5.7109375" style="4" customWidth="1"/>
    <col min="59" max="60" width="5.7109375" style="27" customWidth="1"/>
    <col min="61" max="68" width="5.7109375" style="4" customWidth="1"/>
    <col min="69" max="69" width="5.7109375" style="26" customWidth="1"/>
    <col min="70" max="70" width="7" style="4" customWidth="1"/>
    <col min="71" max="71" width="7.140625" style="4" customWidth="1"/>
    <col min="72" max="72" width="22" style="4" bestFit="1" customWidth="1"/>
    <col min="73" max="73" width="11.42578125" style="4" customWidth="1"/>
    <col min="74" max="16384" width="9.140625" style="4"/>
  </cols>
  <sheetData>
    <row r="1" spans="1:73" ht="15.75" x14ac:dyDescent="0.25">
      <c r="A1" s="165" t="s">
        <v>251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</row>
    <row r="2" spans="1:73" ht="15.75" x14ac:dyDescent="0.25">
      <c r="A2" s="165" t="s">
        <v>332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</row>
    <row r="3" spans="1:73" ht="25.5" customHeight="1" x14ac:dyDescent="0.25">
      <c r="A3" s="18"/>
      <c r="B3" s="19"/>
      <c r="C3" s="166" t="s">
        <v>254</v>
      </c>
      <c r="D3" s="167"/>
      <c r="E3" s="167"/>
      <c r="F3" s="167"/>
      <c r="G3" s="167"/>
      <c r="H3" s="167"/>
      <c r="I3" s="167"/>
      <c r="J3" s="171"/>
      <c r="K3" s="166" t="s">
        <v>3</v>
      </c>
      <c r="L3" s="167"/>
      <c r="M3" s="167"/>
      <c r="N3" s="167"/>
      <c r="O3" s="167"/>
      <c r="P3" s="167"/>
      <c r="Q3" s="167"/>
      <c r="R3" s="171"/>
      <c r="S3" s="172" t="s">
        <v>257</v>
      </c>
      <c r="T3" s="173"/>
      <c r="U3" s="173"/>
      <c r="V3" s="173"/>
      <c r="W3" s="173"/>
      <c r="X3" s="173"/>
      <c r="Y3" s="173"/>
      <c r="Z3" s="174"/>
      <c r="AA3" s="166" t="s">
        <v>258</v>
      </c>
      <c r="AB3" s="167"/>
      <c r="AC3" s="167"/>
      <c r="AD3" s="167"/>
      <c r="AE3" s="167"/>
      <c r="AF3" s="167"/>
      <c r="AG3" s="167"/>
      <c r="AH3" s="171"/>
      <c r="AI3" s="166" t="s">
        <v>5</v>
      </c>
      <c r="AJ3" s="167"/>
      <c r="AK3" s="167"/>
      <c r="AL3" s="167"/>
      <c r="AM3" s="167"/>
      <c r="AN3" s="167"/>
      <c r="AO3" s="167"/>
      <c r="AP3" s="171"/>
      <c r="AQ3" s="166" t="s">
        <v>259</v>
      </c>
      <c r="AR3" s="167"/>
      <c r="AS3" s="167"/>
      <c r="AT3" s="167"/>
      <c r="AU3" s="166" t="s">
        <v>260</v>
      </c>
      <c r="AV3" s="167"/>
      <c r="AW3" s="167"/>
      <c r="AX3" s="167"/>
      <c r="AY3" s="168" t="s">
        <v>8</v>
      </c>
      <c r="AZ3" s="169"/>
      <c r="BA3" s="169"/>
      <c r="BB3" s="169"/>
      <c r="BC3" s="169"/>
      <c r="BD3" s="169"/>
      <c r="BE3" s="169"/>
      <c r="BF3" s="170"/>
      <c r="BG3" s="164" t="s">
        <v>263</v>
      </c>
      <c r="BH3" s="164"/>
      <c r="BI3" s="164"/>
      <c r="BJ3" s="164"/>
      <c r="BK3" s="164"/>
      <c r="BL3" s="164"/>
      <c r="BM3" s="164"/>
      <c r="BN3" s="164"/>
      <c r="BO3" s="10"/>
      <c r="BP3" s="10"/>
      <c r="BQ3" s="28"/>
      <c r="BR3" s="10"/>
      <c r="BS3" s="10"/>
      <c r="BT3" s="10"/>
      <c r="BU3" s="10"/>
    </row>
    <row r="4" spans="1:73" ht="55.5" customHeight="1" x14ac:dyDescent="0.3">
      <c r="A4" s="20" t="s">
        <v>0</v>
      </c>
      <c r="B4" s="21" t="s">
        <v>250</v>
      </c>
      <c r="C4" s="3" t="s">
        <v>278</v>
      </c>
      <c r="D4" s="3" t="s">
        <v>279</v>
      </c>
      <c r="E4" s="3" t="s">
        <v>280</v>
      </c>
      <c r="F4" s="3" t="s">
        <v>281</v>
      </c>
      <c r="G4" s="3" t="s">
        <v>282</v>
      </c>
      <c r="H4" s="3" t="s">
        <v>283</v>
      </c>
      <c r="I4" s="3" t="s">
        <v>284</v>
      </c>
      <c r="J4" s="37" t="s">
        <v>293</v>
      </c>
      <c r="K4" s="3" t="s">
        <v>274</v>
      </c>
      <c r="L4" s="3" t="s">
        <v>275</v>
      </c>
      <c r="M4" s="3" t="s">
        <v>276</v>
      </c>
      <c r="N4" s="3" t="s">
        <v>272</v>
      </c>
      <c r="O4" s="3" t="s">
        <v>273</v>
      </c>
      <c r="P4" s="38" t="s">
        <v>277</v>
      </c>
      <c r="Q4" s="36" t="s">
        <v>292</v>
      </c>
      <c r="R4" s="38" t="s">
        <v>294</v>
      </c>
      <c r="S4" s="55" t="s">
        <v>289</v>
      </c>
      <c r="T4" s="55" t="s">
        <v>290</v>
      </c>
      <c r="U4" s="55" t="s">
        <v>291</v>
      </c>
      <c r="V4" s="55" t="s">
        <v>285</v>
      </c>
      <c r="W4" s="55" t="s">
        <v>286</v>
      </c>
      <c r="X4" s="55" t="s">
        <v>287</v>
      </c>
      <c r="Y4" s="55" t="s">
        <v>288</v>
      </c>
      <c r="Z4" s="56" t="s">
        <v>342</v>
      </c>
      <c r="AA4" s="3" t="s">
        <v>297</v>
      </c>
      <c r="AB4" s="3" t="s">
        <v>298</v>
      </c>
      <c r="AC4" s="3" t="s">
        <v>299</v>
      </c>
      <c r="AD4" s="3" t="s">
        <v>296</v>
      </c>
      <c r="AE4" s="3" t="s">
        <v>300</v>
      </c>
      <c r="AF4" s="3" t="s">
        <v>301</v>
      </c>
      <c r="AG4" s="3" t="s">
        <v>302</v>
      </c>
      <c r="AH4" s="36" t="s">
        <v>303</v>
      </c>
      <c r="AI4" s="3" t="s">
        <v>326</v>
      </c>
      <c r="AJ4" s="3" t="s">
        <v>327</v>
      </c>
      <c r="AK4" s="3" t="s">
        <v>328</v>
      </c>
      <c r="AL4" s="3" t="s">
        <v>304</v>
      </c>
      <c r="AM4" s="3" t="s">
        <v>305</v>
      </c>
      <c r="AN4" s="3" t="s">
        <v>306</v>
      </c>
      <c r="AO4" s="3" t="s">
        <v>307</v>
      </c>
      <c r="AP4" s="36" t="s">
        <v>308</v>
      </c>
      <c r="AQ4" s="3" t="s">
        <v>255</v>
      </c>
      <c r="AR4" s="3" t="s">
        <v>256</v>
      </c>
      <c r="AS4" s="3" t="s">
        <v>264</v>
      </c>
      <c r="AT4" s="3" t="s">
        <v>311</v>
      </c>
      <c r="AU4" s="3" t="s">
        <v>314</v>
      </c>
      <c r="AV4" s="3" t="s">
        <v>313</v>
      </c>
      <c r="AW4" s="3" t="s">
        <v>315</v>
      </c>
      <c r="AX4" s="3" t="s">
        <v>312</v>
      </c>
      <c r="AY4" s="3" t="s">
        <v>316</v>
      </c>
      <c r="AZ4" s="3" t="s">
        <v>317</v>
      </c>
      <c r="BA4" s="3" t="s">
        <v>318</v>
      </c>
      <c r="BB4" s="3" t="s">
        <v>309</v>
      </c>
      <c r="BC4" s="3" t="s">
        <v>310</v>
      </c>
      <c r="BD4" s="3" t="s">
        <v>319</v>
      </c>
      <c r="BE4" s="3" t="s">
        <v>320</v>
      </c>
      <c r="BF4" s="39" t="s">
        <v>321</v>
      </c>
      <c r="BG4" s="3" t="s">
        <v>323</v>
      </c>
      <c r="BH4" s="3" t="s">
        <v>324</v>
      </c>
      <c r="BI4" s="3" t="s">
        <v>325</v>
      </c>
      <c r="BJ4" s="3" t="s">
        <v>322</v>
      </c>
      <c r="BK4" s="3" t="s">
        <v>310</v>
      </c>
      <c r="BL4" s="3" t="s">
        <v>319</v>
      </c>
      <c r="BM4" s="3" t="s">
        <v>320</v>
      </c>
      <c r="BN4" s="39" t="s">
        <v>321</v>
      </c>
      <c r="BO4" s="46" t="s">
        <v>334</v>
      </c>
      <c r="BP4" s="41" t="s">
        <v>335</v>
      </c>
      <c r="BQ4" s="48" t="s">
        <v>336</v>
      </c>
      <c r="BR4" s="48" t="s">
        <v>337</v>
      </c>
      <c r="BS4" s="48" t="s">
        <v>338</v>
      </c>
      <c r="BT4" s="49" t="s">
        <v>339</v>
      </c>
      <c r="BU4" s="43" t="s">
        <v>340</v>
      </c>
    </row>
    <row r="5" spans="1:73" ht="18.75" customHeight="1" x14ac:dyDescent="0.3">
      <c r="A5" s="20"/>
      <c r="B5" s="21"/>
      <c r="C5" s="3">
        <v>25</v>
      </c>
      <c r="D5" s="3">
        <v>50</v>
      </c>
      <c r="E5" s="3">
        <v>25</v>
      </c>
      <c r="F5" s="3">
        <v>20</v>
      </c>
      <c r="G5" s="3">
        <v>80</v>
      </c>
      <c r="H5" s="33">
        <v>200</v>
      </c>
      <c r="I5" s="33">
        <v>100</v>
      </c>
      <c r="J5" s="10"/>
      <c r="K5" s="3">
        <v>25</v>
      </c>
      <c r="L5" s="3">
        <v>50</v>
      </c>
      <c r="M5" s="3">
        <v>25</v>
      </c>
      <c r="N5" s="3">
        <v>20</v>
      </c>
      <c r="O5" s="3">
        <v>80</v>
      </c>
      <c r="P5" s="33">
        <v>200</v>
      </c>
      <c r="Q5" s="33">
        <v>100</v>
      </c>
      <c r="R5" s="33"/>
      <c r="S5" s="55">
        <v>25</v>
      </c>
      <c r="T5" s="55">
        <v>50</v>
      </c>
      <c r="U5" s="55">
        <v>25</v>
      </c>
      <c r="V5" s="55">
        <v>20</v>
      </c>
      <c r="W5" s="55">
        <v>80</v>
      </c>
      <c r="X5" s="57">
        <v>200</v>
      </c>
      <c r="Y5" s="57">
        <v>100</v>
      </c>
      <c r="Z5" s="58"/>
      <c r="AA5" s="3">
        <v>25</v>
      </c>
      <c r="AB5" s="3">
        <v>50</v>
      </c>
      <c r="AC5" s="3">
        <v>25</v>
      </c>
      <c r="AD5" s="3">
        <v>20</v>
      </c>
      <c r="AE5" s="3">
        <v>80</v>
      </c>
      <c r="AF5" s="33">
        <v>200</v>
      </c>
      <c r="AG5" s="33">
        <v>100</v>
      </c>
      <c r="AH5" s="10"/>
      <c r="AI5" s="3">
        <v>25</v>
      </c>
      <c r="AJ5" s="3">
        <v>50</v>
      </c>
      <c r="AK5" s="3">
        <v>25</v>
      </c>
      <c r="AL5" s="3">
        <v>20</v>
      </c>
      <c r="AM5" s="3">
        <v>80</v>
      </c>
      <c r="AN5" s="33">
        <v>200</v>
      </c>
      <c r="AO5" s="33">
        <v>100</v>
      </c>
      <c r="AP5" s="10"/>
      <c r="AQ5" s="3">
        <v>13</v>
      </c>
      <c r="AR5" s="3">
        <v>25</v>
      </c>
      <c r="AS5" s="3">
        <v>12</v>
      </c>
      <c r="AT5" s="3">
        <v>40</v>
      </c>
      <c r="AU5" s="3">
        <v>12</v>
      </c>
      <c r="AV5" s="3">
        <v>25</v>
      </c>
      <c r="AW5" s="3">
        <v>13</v>
      </c>
      <c r="AX5" s="3">
        <v>40</v>
      </c>
      <c r="AY5" s="3">
        <v>25</v>
      </c>
      <c r="AZ5" s="3">
        <v>50</v>
      </c>
      <c r="BA5" s="3">
        <v>25</v>
      </c>
      <c r="BB5" s="3">
        <v>20</v>
      </c>
      <c r="BC5" s="3">
        <v>80</v>
      </c>
      <c r="BD5" s="33">
        <v>200</v>
      </c>
      <c r="BE5" s="33">
        <v>100</v>
      </c>
      <c r="BF5" s="10"/>
      <c r="BG5" s="3">
        <v>25</v>
      </c>
      <c r="BH5" s="3">
        <v>50</v>
      </c>
      <c r="BI5" s="3">
        <v>25</v>
      </c>
      <c r="BJ5" s="3">
        <v>20</v>
      </c>
      <c r="BK5" s="3">
        <v>80</v>
      </c>
      <c r="BL5" s="33">
        <v>200</v>
      </c>
      <c r="BM5" s="33">
        <v>100</v>
      </c>
      <c r="BN5" s="10"/>
      <c r="BO5" s="44"/>
      <c r="BQ5" s="84"/>
      <c r="BR5" s="44"/>
      <c r="BS5" s="44"/>
      <c r="BT5" s="44"/>
      <c r="BU5" s="44"/>
    </row>
    <row r="6" spans="1:73" ht="18" customHeight="1" x14ac:dyDescent="0.25">
      <c r="A6" s="2">
        <v>1</v>
      </c>
      <c r="B6" s="5" t="s">
        <v>128</v>
      </c>
      <c r="C6" s="1">
        <v>20</v>
      </c>
      <c r="D6" s="1">
        <v>30</v>
      </c>
      <c r="E6" s="1">
        <v>18</v>
      </c>
      <c r="F6" s="1">
        <v>18</v>
      </c>
      <c r="G6" s="1">
        <v>65</v>
      </c>
      <c r="H6" s="1">
        <f t="shared" ref="H6:H37" si="0">ROUND(SUM(C6:G6),0)</f>
        <v>151</v>
      </c>
      <c r="I6" s="1">
        <f t="shared" ref="I6:I37" si="1">ROUND(H6/2,0)</f>
        <v>76</v>
      </c>
      <c r="J6" s="10"/>
      <c r="K6" s="1">
        <v>21</v>
      </c>
      <c r="L6" s="1">
        <v>44</v>
      </c>
      <c r="M6" s="1">
        <v>17</v>
      </c>
      <c r="N6" s="1">
        <v>18</v>
      </c>
      <c r="O6" s="1">
        <v>68</v>
      </c>
      <c r="P6" s="1">
        <f t="shared" ref="P6:P37" si="2">ROUND(SUM(K6:O6),0)</f>
        <v>168</v>
      </c>
      <c r="Q6" s="1">
        <f t="shared" ref="Q6:Q37" si="3">ROUND(P6/2,0)</f>
        <v>84</v>
      </c>
      <c r="R6" s="1"/>
      <c r="S6" s="59">
        <v>19</v>
      </c>
      <c r="T6" s="59">
        <v>45</v>
      </c>
      <c r="U6" s="59">
        <v>22</v>
      </c>
      <c r="V6" s="59">
        <v>20</v>
      </c>
      <c r="W6" s="59">
        <v>71</v>
      </c>
      <c r="X6" s="59">
        <f t="shared" ref="X6:X37" si="4">ROUND(SUM(S6:W6),0)</f>
        <v>177</v>
      </c>
      <c r="Y6" s="59">
        <f t="shared" ref="Y6:Y37" si="5">ROUND(X6/2,0)</f>
        <v>89</v>
      </c>
      <c r="Z6" s="58"/>
      <c r="AA6" s="1">
        <v>25</v>
      </c>
      <c r="AB6" s="1">
        <v>32</v>
      </c>
      <c r="AC6" s="1">
        <v>19</v>
      </c>
      <c r="AD6" s="1">
        <v>19</v>
      </c>
      <c r="AE6" s="1">
        <v>58</v>
      </c>
      <c r="AF6" s="1">
        <f t="shared" ref="AF6:AF37" si="6">ROUND(SUM(AA6:AE6),0)</f>
        <v>153</v>
      </c>
      <c r="AG6" s="1">
        <f t="shared" ref="AG6:AG37" si="7">ROUND(AF6/2,0)</f>
        <v>77</v>
      </c>
      <c r="AH6" s="10"/>
      <c r="AI6" s="1">
        <v>25</v>
      </c>
      <c r="AJ6" s="1">
        <v>48</v>
      </c>
      <c r="AK6" s="1">
        <v>22</v>
      </c>
      <c r="AL6" s="1">
        <v>19</v>
      </c>
      <c r="AM6" s="1">
        <v>70</v>
      </c>
      <c r="AN6" s="1">
        <f t="shared" ref="AN6:AN37" si="8">ROUND(SUM(AI6:AM6),0)</f>
        <v>184</v>
      </c>
      <c r="AO6" s="1">
        <f t="shared" ref="AO6:AO37" si="9">ROUND(AN6/2,0)</f>
        <v>92</v>
      </c>
      <c r="AP6" s="10"/>
      <c r="AQ6" s="1">
        <v>12</v>
      </c>
      <c r="AR6" s="1">
        <v>21.5</v>
      </c>
      <c r="AS6" s="1">
        <v>12</v>
      </c>
      <c r="AT6" s="1">
        <v>31</v>
      </c>
      <c r="AU6" s="1">
        <v>6</v>
      </c>
      <c r="AV6" s="1">
        <v>19</v>
      </c>
      <c r="AW6" s="1">
        <v>5.5</v>
      </c>
      <c r="AX6" s="1">
        <v>28</v>
      </c>
      <c r="AY6" s="1">
        <f t="shared" ref="AY6:BA11" si="10">ROUND(AQ6+AU6,0)</f>
        <v>18</v>
      </c>
      <c r="AZ6" s="1">
        <f t="shared" si="10"/>
        <v>41</v>
      </c>
      <c r="BA6" s="1">
        <f t="shared" si="10"/>
        <v>18</v>
      </c>
      <c r="BB6" s="1">
        <v>20</v>
      </c>
      <c r="BC6" s="1">
        <f t="shared" ref="BC6:BC11" si="11">ROUND(AT6+AX6,0)</f>
        <v>59</v>
      </c>
      <c r="BD6" s="1">
        <f t="shared" ref="BD6:BD11" si="12">SUM(AY6:BC6)</f>
        <v>156</v>
      </c>
      <c r="BE6" s="1">
        <f t="shared" ref="BE6:BE11" si="13">ROUND(BD6/2,0)</f>
        <v>78</v>
      </c>
      <c r="BF6" s="1"/>
      <c r="BG6" s="1"/>
      <c r="BH6" s="1"/>
      <c r="BI6" s="10"/>
      <c r="BJ6" s="10"/>
      <c r="BK6" s="10"/>
      <c r="BL6" s="10"/>
      <c r="BM6" s="10"/>
      <c r="BN6" s="10"/>
      <c r="BO6" s="45" t="s">
        <v>371</v>
      </c>
      <c r="BP6" s="43" t="s">
        <v>371</v>
      </c>
      <c r="BQ6" s="50"/>
      <c r="BR6" s="50">
        <f>ROUND(I6+Q6+Y6+AG6+AO6+BE6,0)</f>
        <v>496</v>
      </c>
      <c r="BS6" s="51">
        <f>BR6/6</f>
        <v>82.666666666666671</v>
      </c>
      <c r="BT6" s="52" t="str">
        <f t="shared" ref="BT6:BT69" si="14">IF(BS6&gt;=75,"GRADE I with Distinction",IF(BS6&gt;=60,"GRADE I",IF(BS6&gt;=45,"GRADE II",IF(BS6&gt;=35,"PASS","FAIL"))))</f>
        <v>GRADE I with Distinction</v>
      </c>
      <c r="BU6" s="43"/>
    </row>
    <row r="7" spans="1:73" ht="18" customHeight="1" x14ac:dyDescent="0.25">
      <c r="A7" s="2">
        <v>2</v>
      </c>
      <c r="B7" s="5" t="s">
        <v>129</v>
      </c>
      <c r="C7" s="1">
        <v>14</v>
      </c>
      <c r="D7" s="1">
        <v>31</v>
      </c>
      <c r="E7" s="1">
        <v>17</v>
      </c>
      <c r="F7" s="1">
        <v>18</v>
      </c>
      <c r="G7" s="1">
        <v>60</v>
      </c>
      <c r="H7" s="1">
        <f t="shared" si="0"/>
        <v>140</v>
      </c>
      <c r="I7" s="1">
        <f t="shared" si="1"/>
        <v>70</v>
      </c>
      <c r="J7" s="10"/>
      <c r="K7" s="1">
        <v>22</v>
      </c>
      <c r="L7" s="1">
        <v>47</v>
      </c>
      <c r="M7" s="1">
        <v>19</v>
      </c>
      <c r="N7" s="1">
        <v>20</v>
      </c>
      <c r="O7" s="1">
        <v>65</v>
      </c>
      <c r="P7" s="1">
        <f t="shared" si="2"/>
        <v>173</v>
      </c>
      <c r="Q7" s="1">
        <f t="shared" si="3"/>
        <v>87</v>
      </c>
      <c r="R7" s="1"/>
      <c r="S7" s="59">
        <v>25</v>
      </c>
      <c r="T7" s="59">
        <v>42</v>
      </c>
      <c r="U7" s="59">
        <v>21</v>
      </c>
      <c r="V7" s="59">
        <v>20</v>
      </c>
      <c r="W7" s="59">
        <v>74</v>
      </c>
      <c r="X7" s="59">
        <f t="shared" si="4"/>
        <v>182</v>
      </c>
      <c r="Y7" s="59">
        <f t="shared" si="5"/>
        <v>91</v>
      </c>
      <c r="Z7" s="58"/>
      <c r="AA7" s="1">
        <v>22</v>
      </c>
      <c r="AB7" s="1">
        <v>36</v>
      </c>
      <c r="AC7" s="1">
        <v>22</v>
      </c>
      <c r="AD7" s="1">
        <v>19</v>
      </c>
      <c r="AE7" s="1">
        <v>50</v>
      </c>
      <c r="AF7" s="1">
        <f t="shared" si="6"/>
        <v>149</v>
      </c>
      <c r="AG7" s="1">
        <f t="shared" si="7"/>
        <v>75</v>
      </c>
      <c r="AH7" s="10"/>
      <c r="AI7" s="1">
        <v>17</v>
      </c>
      <c r="AJ7" s="1">
        <v>43</v>
      </c>
      <c r="AK7" s="1">
        <v>18</v>
      </c>
      <c r="AL7" s="1">
        <v>19</v>
      </c>
      <c r="AM7" s="1">
        <v>66</v>
      </c>
      <c r="AN7" s="1">
        <f t="shared" si="8"/>
        <v>163</v>
      </c>
      <c r="AO7" s="1">
        <f t="shared" si="9"/>
        <v>82</v>
      </c>
      <c r="AP7" s="10"/>
      <c r="AQ7" s="1">
        <v>13</v>
      </c>
      <c r="AR7" s="1">
        <v>24</v>
      </c>
      <c r="AS7" s="1">
        <v>10</v>
      </c>
      <c r="AT7" s="1">
        <v>36</v>
      </c>
      <c r="AU7" s="1">
        <v>12</v>
      </c>
      <c r="AV7" s="1">
        <v>22.5</v>
      </c>
      <c r="AW7" s="1">
        <v>11</v>
      </c>
      <c r="AX7" s="1">
        <v>34</v>
      </c>
      <c r="AY7" s="1">
        <f t="shared" si="10"/>
        <v>25</v>
      </c>
      <c r="AZ7" s="1">
        <f t="shared" si="10"/>
        <v>47</v>
      </c>
      <c r="BA7" s="1">
        <f t="shared" si="10"/>
        <v>21</v>
      </c>
      <c r="BB7" s="1">
        <v>20</v>
      </c>
      <c r="BC7" s="1">
        <f t="shared" si="11"/>
        <v>70</v>
      </c>
      <c r="BD7" s="1">
        <f t="shared" si="12"/>
        <v>183</v>
      </c>
      <c r="BE7" s="1">
        <f t="shared" si="13"/>
        <v>92</v>
      </c>
      <c r="BF7" s="1"/>
      <c r="BG7" s="1"/>
      <c r="BH7" s="1"/>
      <c r="BI7" s="10"/>
      <c r="BJ7" s="10"/>
      <c r="BK7" s="10"/>
      <c r="BL7" s="10"/>
      <c r="BM7" s="10"/>
      <c r="BN7" s="10"/>
      <c r="BO7" s="10" t="s">
        <v>371</v>
      </c>
      <c r="BP7" s="10" t="s">
        <v>371</v>
      </c>
      <c r="BQ7" s="50"/>
      <c r="BR7" s="50">
        <f t="shared" ref="BR7:BR70" si="15">ROUND(I7+Q7+Y7+AG7+AO7+BE7,0)</f>
        <v>497</v>
      </c>
      <c r="BS7" s="51">
        <f t="shared" ref="BS7:BS70" si="16">BR7/6</f>
        <v>82.833333333333329</v>
      </c>
      <c r="BT7" s="52" t="str">
        <f t="shared" si="14"/>
        <v>GRADE I with Distinction</v>
      </c>
      <c r="BU7" s="10"/>
    </row>
    <row r="8" spans="1:73" ht="18" customHeight="1" x14ac:dyDescent="0.25">
      <c r="A8" s="2">
        <v>3</v>
      </c>
      <c r="B8" s="5" t="s">
        <v>130</v>
      </c>
      <c r="C8" s="1">
        <v>12</v>
      </c>
      <c r="D8" s="1">
        <v>36</v>
      </c>
      <c r="E8" s="1">
        <v>20</v>
      </c>
      <c r="F8" s="1">
        <v>16</v>
      </c>
      <c r="G8" s="1">
        <v>73</v>
      </c>
      <c r="H8" s="1">
        <f t="shared" si="0"/>
        <v>157</v>
      </c>
      <c r="I8" s="1">
        <f t="shared" si="1"/>
        <v>79</v>
      </c>
      <c r="J8" s="10"/>
      <c r="K8" s="1">
        <v>16</v>
      </c>
      <c r="L8" s="1">
        <v>43</v>
      </c>
      <c r="M8" s="1">
        <v>16</v>
      </c>
      <c r="N8" s="1">
        <v>20</v>
      </c>
      <c r="O8" s="1">
        <v>48</v>
      </c>
      <c r="P8" s="1">
        <f t="shared" si="2"/>
        <v>143</v>
      </c>
      <c r="Q8" s="1">
        <f t="shared" si="3"/>
        <v>72</v>
      </c>
      <c r="R8" s="1"/>
      <c r="S8" s="59">
        <v>24</v>
      </c>
      <c r="T8" s="59">
        <v>43</v>
      </c>
      <c r="U8" s="59">
        <v>21</v>
      </c>
      <c r="V8" s="59">
        <v>20</v>
      </c>
      <c r="W8" s="59">
        <v>75</v>
      </c>
      <c r="X8" s="59">
        <f t="shared" si="4"/>
        <v>183</v>
      </c>
      <c r="Y8" s="59">
        <f t="shared" si="5"/>
        <v>92</v>
      </c>
      <c r="Z8" s="58"/>
      <c r="AA8" s="1">
        <v>25</v>
      </c>
      <c r="AB8" s="1">
        <v>43</v>
      </c>
      <c r="AC8" s="1">
        <v>21</v>
      </c>
      <c r="AD8" s="1">
        <v>17</v>
      </c>
      <c r="AE8" s="1">
        <v>71</v>
      </c>
      <c r="AF8" s="1">
        <f t="shared" si="6"/>
        <v>177</v>
      </c>
      <c r="AG8" s="1">
        <f t="shared" si="7"/>
        <v>89</v>
      </c>
      <c r="AH8" s="10"/>
      <c r="AI8" s="1">
        <v>25</v>
      </c>
      <c r="AJ8" s="1">
        <v>49</v>
      </c>
      <c r="AK8" s="1">
        <v>21</v>
      </c>
      <c r="AL8" s="1">
        <v>18</v>
      </c>
      <c r="AM8" s="1">
        <v>74</v>
      </c>
      <c r="AN8" s="1">
        <f t="shared" si="8"/>
        <v>187</v>
      </c>
      <c r="AO8" s="1">
        <f t="shared" si="9"/>
        <v>94</v>
      </c>
      <c r="AP8" s="10"/>
      <c r="AQ8" s="1">
        <v>13</v>
      </c>
      <c r="AR8" s="1">
        <v>24</v>
      </c>
      <c r="AS8" s="1">
        <v>9</v>
      </c>
      <c r="AT8" s="1">
        <v>32</v>
      </c>
      <c r="AU8" s="1">
        <v>10</v>
      </c>
      <c r="AV8" s="1">
        <v>23</v>
      </c>
      <c r="AW8" s="1">
        <v>9.5</v>
      </c>
      <c r="AX8" s="1">
        <v>36</v>
      </c>
      <c r="AY8" s="1">
        <f t="shared" si="10"/>
        <v>23</v>
      </c>
      <c r="AZ8" s="1">
        <f t="shared" si="10"/>
        <v>47</v>
      </c>
      <c r="BA8" s="1">
        <f t="shared" si="10"/>
        <v>19</v>
      </c>
      <c r="BB8" s="1">
        <v>16</v>
      </c>
      <c r="BC8" s="1">
        <f t="shared" si="11"/>
        <v>68</v>
      </c>
      <c r="BD8" s="1">
        <f t="shared" si="12"/>
        <v>173</v>
      </c>
      <c r="BE8" s="1">
        <f t="shared" si="13"/>
        <v>87</v>
      </c>
      <c r="BF8" s="1"/>
      <c r="BG8" s="1"/>
      <c r="BH8" s="1"/>
      <c r="BI8" s="10"/>
      <c r="BJ8" s="10"/>
      <c r="BK8" s="10"/>
      <c r="BL8" s="10"/>
      <c r="BM8" s="10"/>
      <c r="BN8" s="10"/>
      <c r="BO8" s="10" t="s">
        <v>371</v>
      </c>
      <c r="BP8" s="10" t="s">
        <v>371</v>
      </c>
      <c r="BQ8" s="50"/>
      <c r="BR8" s="50">
        <f t="shared" si="15"/>
        <v>513</v>
      </c>
      <c r="BS8" s="51">
        <f t="shared" si="16"/>
        <v>85.5</v>
      </c>
      <c r="BT8" s="52" t="str">
        <f t="shared" si="14"/>
        <v>GRADE I with Distinction</v>
      </c>
      <c r="BU8" s="10"/>
    </row>
    <row r="9" spans="1:73" ht="18" customHeight="1" x14ac:dyDescent="0.25">
      <c r="A9" s="2">
        <v>4</v>
      </c>
      <c r="B9" s="5" t="s">
        <v>131</v>
      </c>
      <c r="C9" s="1">
        <v>12</v>
      </c>
      <c r="D9" s="1">
        <v>32</v>
      </c>
      <c r="E9" s="1">
        <v>16</v>
      </c>
      <c r="F9" s="1">
        <v>18</v>
      </c>
      <c r="G9" s="1">
        <v>56</v>
      </c>
      <c r="H9" s="1">
        <f t="shared" si="0"/>
        <v>134</v>
      </c>
      <c r="I9" s="1">
        <f t="shared" si="1"/>
        <v>67</v>
      </c>
      <c r="J9" s="10"/>
      <c r="K9" s="1">
        <v>15</v>
      </c>
      <c r="L9" s="1">
        <v>44</v>
      </c>
      <c r="M9" s="1">
        <v>9</v>
      </c>
      <c r="N9" s="1">
        <v>20</v>
      </c>
      <c r="O9" s="1">
        <v>55</v>
      </c>
      <c r="P9" s="1">
        <f t="shared" si="2"/>
        <v>143</v>
      </c>
      <c r="Q9" s="1">
        <f t="shared" si="3"/>
        <v>72</v>
      </c>
      <c r="R9" s="1"/>
      <c r="S9" s="59">
        <v>24</v>
      </c>
      <c r="T9" s="59">
        <v>46</v>
      </c>
      <c r="U9" s="59">
        <v>21</v>
      </c>
      <c r="V9" s="59">
        <v>18</v>
      </c>
      <c r="W9" s="59">
        <v>73</v>
      </c>
      <c r="X9" s="59">
        <f t="shared" si="4"/>
        <v>182</v>
      </c>
      <c r="Y9" s="59">
        <f t="shared" si="5"/>
        <v>91</v>
      </c>
      <c r="Z9" s="58"/>
      <c r="AA9" s="1">
        <v>25</v>
      </c>
      <c r="AB9" s="1">
        <v>34</v>
      </c>
      <c r="AC9" s="1">
        <v>7</v>
      </c>
      <c r="AD9" s="1">
        <v>18</v>
      </c>
      <c r="AE9" s="1">
        <v>45</v>
      </c>
      <c r="AF9" s="1">
        <f t="shared" si="6"/>
        <v>129</v>
      </c>
      <c r="AG9" s="1">
        <f t="shared" si="7"/>
        <v>65</v>
      </c>
      <c r="AH9" s="10"/>
      <c r="AI9" s="1">
        <v>24</v>
      </c>
      <c r="AJ9" s="1">
        <v>48</v>
      </c>
      <c r="AK9" s="1">
        <v>18</v>
      </c>
      <c r="AL9" s="1">
        <v>20</v>
      </c>
      <c r="AM9" s="1">
        <v>74</v>
      </c>
      <c r="AN9" s="1">
        <f t="shared" si="8"/>
        <v>184</v>
      </c>
      <c r="AO9" s="1">
        <f t="shared" si="9"/>
        <v>92</v>
      </c>
      <c r="AP9" s="10"/>
      <c r="AQ9" s="1">
        <v>9</v>
      </c>
      <c r="AR9" s="1">
        <v>10</v>
      </c>
      <c r="AS9" s="1">
        <v>5</v>
      </c>
      <c r="AT9" s="1">
        <v>25</v>
      </c>
      <c r="AU9" s="1">
        <v>4</v>
      </c>
      <c r="AV9" s="1">
        <v>14</v>
      </c>
      <c r="AW9" s="1">
        <v>3</v>
      </c>
      <c r="AX9" s="1">
        <v>11</v>
      </c>
      <c r="AY9" s="1">
        <f t="shared" si="10"/>
        <v>13</v>
      </c>
      <c r="AZ9" s="1">
        <f t="shared" si="10"/>
        <v>24</v>
      </c>
      <c r="BA9" s="1">
        <f t="shared" si="10"/>
        <v>8</v>
      </c>
      <c r="BB9" s="1">
        <v>16</v>
      </c>
      <c r="BC9" s="1">
        <f t="shared" si="11"/>
        <v>36</v>
      </c>
      <c r="BD9" s="1">
        <f t="shared" si="12"/>
        <v>97</v>
      </c>
      <c r="BE9" s="1">
        <f t="shared" si="13"/>
        <v>49</v>
      </c>
      <c r="BF9" s="1"/>
      <c r="BG9" s="1"/>
      <c r="BH9" s="1"/>
      <c r="BI9" s="10"/>
      <c r="BJ9" s="10"/>
      <c r="BK9" s="10"/>
      <c r="BL9" s="10"/>
      <c r="BM9" s="10"/>
      <c r="BN9" s="10"/>
      <c r="BO9" s="10" t="s">
        <v>371</v>
      </c>
      <c r="BP9" s="10" t="s">
        <v>371</v>
      </c>
      <c r="BQ9" s="50"/>
      <c r="BR9" s="50">
        <f t="shared" si="15"/>
        <v>436</v>
      </c>
      <c r="BS9" s="51">
        <f t="shared" si="16"/>
        <v>72.666666666666671</v>
      </c>
      <c r="BT9" s="52" t="str">
        <f t="shared" si="14"/>
        <v>GRADE I</v>
      </c>
      <c r="BU9" s="10"/>
    </row>
    <row r="10" spans="1:73" ht="18" customHeight="1" x14ac:dyDescent="0.25">
      <c r="A10" s="2">
        <v>5</v>
      </c>
      <c r="B10" s="5" t="s">
        <v>132</v>
      </c>
      <c r="C10" s="1">
        <v>14</v>
      </c>
      <c r="D10" s="1">
        <v>27</v>
      </c>
      <c r="E10" s="1">
        <v>16</v>
      </c>
      <c r="F10" s="1">
        <v>18</v>
      </c>
      <c r="G10" s="1">
        <v>55</v>
      </c>
      <c r="H10" s="1">
        <f t="shared" si="0"/>
        <v>130</v>
      </c>
      <c r="I10" s="1">
        <f t="shared" si="1"/>
        <v>65</v>
      </c>
      <c r="J10" s="10"/>
      <c r="K10" s="1">
        <v>9</v>
      </c>
      <c r="L10" s="1">
        <v>35</v>
      </c>
      <c r="M10" s="1">
        <v>11</v>
      </c>
      <c r="N10" s="1">
        <v>20</v>
      </c>
      <c r="O10" s="1">
        <v>55</v>
      </c>
      <c r="P10" s="1">
        <f t="shared" si="2"/>
        <v>130</v>
      </c>
      <c r="Q10" s="1">
        <f t="shared" si="3"/>
        <v>65</v>
      </c>
      <c r="R10" s="1"/>
      <c r="S10" s="59">
        <v>16</v>
      </c>
      <c r="T10" s="59">
        <v>41</v>
      </c>
      <c r="U10" s="59">
        <v>20</v>
      </c>
      <c r="V10" s="59">
        <v>19</v>
      </c>
      <c r="W10" s="59">
        <v>56</v>
      </c>
      <c r="X10" s="59">
        <f t="shared" si="4"/>
        <v>152</v>
      </c>
      <c r="Y10" s="59">
        <f t="shared" si="5"/>
        <v>76</v>
      </c>
      <c r="Z10" s="58"/>
      <c r="AA10" s="1">
        <v>23</v>
      </c>
      <c r="AB10" s="1">
        <v>33</v>
      </c>
      <c r="AC10" s="1">
        <v>24</v>
      </c>
      <c r="AD10" s="1">
        <v>17</v>
      </c>
      <c r="AE10" s="1">
        <v>48</v>
      </c>
      <c r="AF10" s="1">
        <f t="shared" si="6"/>
        <v>145</v>
      </c>
      <c r="AG10" s="1">
        <f t="shared" si="7"/>
        <v>73</v>
      </c>
      <c r="AH10" s="10"/>
      <c r="AI10" s="1">
        <v>25</v>
      </c>
      <c r="AJ10" s="1">
        <v>35</v>
      </c>
      <c r="AK10" s="1">
        <v>12</v>
      </c>
      <c r="AL10" s="1">
        <v>19</v>
      </c>
      <c r="AM10" s="1">
        <v>57</v>
      </c>
      <c r="AN10" s="1">
        <f t="shared" si="8"/>
        <v>148</v>
      </c>
      <c r="AO10" s="1">
        <f t="shared" si="9"/>
        <v>74</v>
      </c>
      <c r="AP10" s="10"/>
      <c r="AQ10" s="1">
        <v>13</v>
      </c>
      <c r="AR10" s="1">
        <v>11.5</v>
      </c>
      <c r="AS10" s="1">
        <v>9</v>
      </c>
      <c r="AT10" s="1">
        <v>24</v>
      </c>
      <c r="AU10" s="1">
        <v>9</v>
      </c>
      <c r="AV10" s="1">
        <v>17.5</v>
      </c>
      <c r="AW10" s="1">
        <v>4.5</v>
      </c>
      <c r="AX10" s="1">
        <v>25</v>
      </c>
      <c r="AY10" s="1">
        <f t="shared" si="10"/>
        <v>22</v>
      </c>
      <c r="AZ10" s="1">
        <f t="shared" si="10"/>
        <v>29</v>
      </c>
      <c r="BA10" s="1">
        <f t="shared" si="10"/>
        <v>14</v>
      </c>
      <c r="BB10" s="1">
        <v>20</v>
      </c>
      <c r="BC10" s="1">
        <f t="shared" si="11"/>
        <v>49</v>
      </c>
      <c r="BD10" s="1">
        <f t="shared" si="12"/>
        <v>134</v>
      </c>
      <c r="BE10" s="1">
        <f t="shared" si="13"/>
        <v>67</v>
      </c>
      <c r="BF10" s="1"/>
      <c r="BG10" s="1"/>
      <c r="BH10" s="1"/>
      <c r="BI10" s="10"/>
      <c r="BJ10" s="10"/>
      <c r="BK10" s="10"/>
      <c r="BL10" s="10"/>
      <c r="BM10" s="10"/>
      <c r="BN10" s="10"/>
      <c r="BO10" s="10" t="s">
        <v>371</v>
      </c>
      <c r="BP10" s="10" t="s">
        <v>371</v>
      </c>
      <c r="BQ10" s="50"/>
      <c r="BR10" s="50">
        <f t="shared" si="15"/>
        <v>420</v>
      </c>
      <c r="BS10" s="51">
        <f t="shared" si="16"/>
        <v>70</v>
      </c>
      <c r="BT10" s="52" t="str">
        <f t="shared" si="14"/>
        <v>GRADE I</v>
      </c>
      <c r="BU10" s="10"/>
    </row>
    <row r="11" spans="1:73" ht="18" customHeight="1" x14ac:dyDescent="0.25">
      <c r="A11" s="2">
        <v>6</v>
      </c>
      <c r="B11" s="5" t="s">
        <v>133</v>
      </c>
      <c r="C11" s="1">
        <v>12</v>
      </c>
      <c r="D11" s="1">
        <v>29</v>
      </c>
      <c r="E11" s="1">
        <v>14</v>
      </c>
      <c r="F11" s="1">
        <v>18</v>
      </c>
      <c r="G11" s="1">
        <v>52</v>
      </c>
      <c r="H11" s="1">
        <f t="shared" si="0"/>
        <v>125</v>
      </c>
      <c r="I11" s="1">
        <f t="shared" si="1"/>
        <v>63</v>
      </c>
      <c r="J11" s="10"/>
      <c r="K11" s="1">
        <v>15</v>
      </c>
      <c r="L11" s="1">
        <v>41</v>
      </c>
      <c r="M11" s="1">
        <v>17</v>
      </c>
      <c r="N11" s="1">
        <v>19</v>
      </c>
      <c r="O11" s="1">
        <v>55</v>
      </c>
      <c r="P11" s="1">
        <f t="shared" si="2"/>
        <v>147</v>
      </c>
      <c r="Q11" s="1">
        <f t="shared" si="3"/>
        <v>74</v>
      </c>
      <c r="R11" s="1"/>
      <c r="S11" s="59">
        <v>23</v>
      </c>
      <c r="T11" s="59">
        <v>42</v>
      </c>
      <c r="U11" s="59">
        <v>15</v>
      </c>
      <c r="V11" s="59">
        <v>19</v>
      </c>
      <c r="W11" s="59">
        <v>65</v>
      </c>
      <c r="X11" s="59">
        <f t="shared" si="4"/>
        <v>164</v>
      </c>
      <c r="Y11" s="59">
        <f t="shared" si="5"/>
        <v>82</v>
      </c>
      <c r="Z11" s="58"/>
      <c r="AA11" s="1">
        <v>20</v>
      </c>
      <c r="AB11" s="1">
        <v>26</v>
      </c>
      <c r="AC11" s="1">
        <v>19</v>
      </c>
      <c r="AD11" s="1">
        <v>19</v>
      </c>
      <c r="AE11" s="1">
        <v>44</v>
      </c>
      <c r="AF11" s="1">
        <f t="shared" si="6"/>
        <v>128</v>
      </c>
      <c r="AG11" s="1">
        <f t="shared" si="7"/>
        <v>64</v>
      </c>
      <c r="AH11" s="10"/>
      <c r="AI11" s="1">
        <v>21</v>
      </c>
      <c r="AJ11" s="1">
        <v>50</v>
      </c>
      <c r="AK11" s="1">
        <v>16</v>
      </c>
      <c r="AL11" s="1">
        <v>20</v>
      </c>
      <c r="AM11" s="1">
        <v>58</v>
      </c>
      <c r="AN11" s="1">
        <f t="shared" si="8"/>
        <v>165</v>
      </c>
      <c r="AO11" s="1">
        <f t="shared" si="9"/>
        <v>83</v>
      </c>
      <c r="AP11" s="10"/>
      <c r="AQ11" s="1">
        <v>10</v>
      </c>
      <c r="AR11" s="1">
        <v>12</v>
      </c>
      <c r="AS11" s="1">
        <v>5.5</v>
      </c>
      <c r="AT11" s="1">
        <v>16</v>
      </c>
      <c r="AU11" s="1">
        <v>9.5</v>
      </c>
      <c r="AV11" s="1">
        <v>11.5</v>
      </c>
      <c r="AW11" s="1">
        <v>6</v>
      </c>
      <c r="AX11" s="1">
        <v>19</v>
      </c>
      <c r="AY11" s="1">
        <f t="shared" si="10"/>
        <v>20</v>
      </c>
      <c r="AZ11" s="1">
        <f t="shared" si="10"/>
        <v>24</v>
      </c>
      <c r="BA11" s="1">
        <f t="shared" si="10"/>
        <v>12</v>
      </c>
      <c r="BB11" s="1">
        <v>14</v>
      </c>
      <c r="BC11" s="1">
        <f t="shared" si="11"/>
        <v>35</v>
      </c>
      <c r="BD11" s="1">
        <f t="shared" si="12"/>
        <v>105</v>
      </c>
      <c r="BE11" s="1">
        <f t="shared" si="13"/>
        <v>53</v>
      </c>
      <c r="BF11" s="1"/>
      <c r="BG11" s="1"/>
      <c r="BH11" s="1"/>
      <c r="BI11" s="10"/>
      <c r="BJ11" s="10"/>
      <c r="BK11" s="10"/>
      <c r="BL11" s="10"/>
      <c r="BM11" s="10"/>
      <c r="BN11" s="10"/>
      <c r="BO11" s="10" t="s">
        <v>371</v>
      </c>
      <c r="BP11" s="10" t="s">
        <v>371</v>
      </c>
      <c r="BQ11" s="50"/>
      <c r="BR11" s="50">
        <f t="shared" si="15"/>
        <v>419</v>
      </c>
      <c r="BS11" s="51">
        <f t="shared" si="16"/>
        <v>69.833333333333329</v>
      </c>
      <c r="BT11" s="52" t="str">
        <f t="shared" si="14"/>
        <v>GRADE I</v>
      </c>
      <c r="BU11" s="10"/>
    </row>
    <row r="12" spans="1:73" s="111" customFormat="1" ht="18" customHeight="1" x14ac:dyDescent="0.25">
      <c r="A12" s="103">
        <v>7</v>
      </c>
      <c r="B12" s="104" t="s">
        <v>134</v>
      </c>
      <c r="C12" s="97">
        <v>11</v>
      </c>
      <c r="D12" s="97">
        <v>32</v>
      </c>
      <c r="E12" s="97">
        <v>19</v>
      </c>
      <c r="F12" s="97">
        <v>16</v>
      </c>
      <c r="G12" s="97">
        <v>55</v>
      </c>
      <c r="H12" s="97">
        <f t="shared" si="0"/>
        <v>133</v>
      </c>
      <c r="I12" s="97">
        <f t="shared" si="1"/>
        <v>67</v>
      </c>
      <c r="J12" s="105"/>
      <c r="K12" s="97">
        <v>8</v>
      </c>
      <c r="L12" s="97">
        <v>47</v>
      </c>
      <c r="M12" s="97">
        <v>10</v>
      </c>
      <c r="N12" s="97">
        <v>19</v>
      </c>
      <c r="O12" s="97">
        <v>48</v>
      </c>
      <c r="P12" s="97">
        <f t="shared" si="2"/>
        <v>132</v>
      </c>
      <c r="Q12" s="97">
        <f t="shared" si="3"/>
        <v>66</v>
      </c>
      <c r="R12" s="97"/>
      <c r="S12" s="106">
        <v>23</v>
      </c>
      <c r="T12" s="106">
        <v>42</v>
      </c>
      <c r="U12" s="106">
        <v>18</v>
      </c>
      <c r="V12" s="106">
        <v>19</v>
      </c>
      <c r="W12" s="106">
        <v>72</v>
      </c>
      <c r="X12" s="106">
        <f t="shared" si="4"/>
        <v>174</v>
      </c>
      <c r="Y12" s="106">
        <f t="shared" si="5"/>
        <v>87</v>
      </c>
      <c r="Z12" s="107"/>
      <c r="AA12" s="97">
        <v>17</v>
      </c>
      <c r="AB12" s="97">
        <v>18</v>
      </c>
      <c r="AC12" s="97">
        <v>10</v>
      </c>
      <c r="AD12" s="97">
        <v>17</v>
      </c>
      <c r="AE12" s="97">
        <v>41</v>
      </c>
      <c r="AF12" s="97">
        <f t="shared" si="6"/>
        <v>103</v>
      </c>
      <c r="AG12" s="97">
        <f t="shared" si="7"/>
        <v>52</v>
      </c>
      <c r="AH12" s="105"/>
      <c r="AI12" s="97">
        <v>19</v>
      </c>
      <c r="AJ12" s="97">
        <v>45</v>
      </c>
      <c r="AK12" s="97">
        <v>16</v>
      </c>
      <c r="AL12" s="97">
        <v>17</v>
      </c>
      <c r="AM12" s="97">
        <v>64</v>
      </c>
      <c r="AN12" s="97">
        <f t="shared" si="8"/>
        <v>161</v>
      </c>
      <c r="AO12" s="97">
        <f t="shared" si="9"/>
        <v>81</v>
      </c>
      <c r="AP12" s="105"/>
      <c r="AQ12" s="112"/>
      <c r="AR12" s="112"/>
      <c r="AS12" s="112" t="s">
        <v>263</v>
      </c>
      <c r="AT12" s="112"/>
      <c r="AU12" s="112"/>
      <c r="AV12" s="113"/>
      <c r="AW12" s="113" t="s">
        <v>263</v>
      </c>
      <c r="AX12" s="113" t="s">
        <v>263</v>
      </c>
      <c r="AY12" s="112"/>
      <c r="AZ12" s="112"/>
      <c r="BA12" s="97"/>
      <c r="BB12" s="112"/>
      <c r="BC12" s="97"/>
      <c r="BD12" s="97"/>
      <c r="BE12" s="97"/>
      <c r="BF12" s="112"/>
      <c r="BG12" s="97">
        <v>0</v>
      </c>
      <c r="BH12" s="97">
        <v>15</v>
      </c>
      <c r="BI12" s="114">
        <v>13</v>
      </c>
      <c r="BJ12" s="114">
        <v>16</v>
      </c>
      <c r="BK12" s="114">
        <v>66</v>
      </c>
      <c r="BL12" s="114">
        <f>SUM(BG12:BK12)</f>
        <v>110</v>
      </c>
      <c r="BM12" s="114">
        <f>110/2</f>
        <v>55</v>
      </c>
      <c r="BN12" s="105"/>
      <c r="BO12" s="105" t="s">
        <v>371</v>
      </c>
      <c r="BP12" s="105" t="s">
        <v>371</v>
      </c>
      <c r="BQ12" s="108"/>
      <c r="BR12" s="108">
        <f t="shared" si="15"/>
        <v>353</v>
      </c>
      <c r="BS12" s="109">
        <f t="shared" si="16"/>
        <v>58.833333333333336</v>
      </c>
      <c r="BT12" s="110" t="str">
        <f t="shared" si="14"/>
        <v>GRADE II</v>
      </c>
      <c r="BU12" s="105"/>
    </row>
    <row r="13" spans="1:73" ht="18" customHeight="1" x14ac:dyDescent="0.25">
      <c r="A13" s="2">
        <v>8</v>
      </c>
      <c r="B13" s="5" t="s">
        <v>135</v>
      </c>
      <c r="C13" s="1">
        <v>10</v>
      </c>
      <c r="D13" s="1">
        <v>29</v>
      </c>
      <c r="E13" s="1">
        <v>16</v>
      </c>
      <c r="F13" s="1">
        <v>16</v>
      </c>
      <c r="G13" s="1">
        <v>57</v>
      </c>
      <c r="H13" s="1">
        <f t="shared" si="0"/>
        <v>128</v>
      </c>
      <c r="I13" s="1">
        <f t="shared" si="1"/>
        <v>64</v>
      </c>
      <c r="J13" s="10"/>
      <c r="K13" s="1">
        <v>20</v>
      </c>
      <c r="L13" s="1">
        <v>48</v>
      </c>
      <c r="M13" s="1">
        <v>18</v>
      </c>
      <c r="N13" s="1">
        <v>20</v>
      </c>
      <c r="O13" s="1">
        <v>76</v>
      </c>
      <c r="P13" s="1">
        <f t="shared" si="2"/>
        <v>182</v>
      </c>
      <c r="Q13" s="1">
        <f t="shared" si="3"/>
        <v>91</v>
      </c>
      <c r="R13" s="1"/>
      <c r="S13" s="59">
        <v>25</v>
      </c>
      <c r="T13" s="59">
        <v>44</v>
      </c>
      <c r="U13" s="59">
        <v>21</v>
      </c>
      <c r="V13" s="59">
        <v>19</v>
      </c>
      <c r="W13" s="59">
        <v>74</v>
      </c>
      <c r="X13" s="59">
        <f t="shared" si="4"/>
        <v>183</v>
      </c>
      <c r="Y13" s="59">
        <f t="shared" si="5"/>
        <v>92</v>
      </c>
      <c r="Z13" s="58"/>
      <c r="AA13" s="1">
        <v>25</v>
      </c>
      <c r="AB13" s="1">
        <v>43</v>
      </c>
      <c r="AC13" s="1">
        <v>25</v>
      </c>
      <c r="AD13" s="1">
        <v>19</v>
      </c>
      <c r="AE13" s="1">
        <v>73</v>
      </c>
      <c r="AF13" s="1">
        <f t="shared" si="6"/>
        <v>185</v>
      </c>
      <c r="AG13" s="1">
        <f t="shared" si="7"/>
        <v>93</v>
      </c>
      <c r="AH13" s="10"/>
      <c r="AI13" s="1">
        <v>25</v>
      </c>
      <c r="AJ13" s="1">
        <v>50</v>
      </c>
      <c r="AK13" s="1">
        <v>25</v>
      </c>
      <c r="AL13" s="1">
        <v>20</v>
      </c>
      <c r="AM13" s="1">
        <v>79</v>
      </c>
      <c r="AN13" s="1">
        <f t="shared" si="8"/>
        <v>199</v>
      </c>
      <c r="AO13" s="1">
        <f t="shared" si="9"/>
        <v>100</v>
      </c>
      <c r="AP13" s="10"/>
      <c r="AQ13" s="1">
        <v>10</v>
      </c>
      <c r="AR13" s="1">
        <v>25</v>
      </c>
      <c r="AS13" s="1">
        <v>9</v>
      </c>
      <c r="AT13" s="1">
        <v>30</v>
      </c>
      <c r="AU13" s="1">
        <v>11</v>
      </c>
      <c r="AV13" s="1">
        <v>24.5</v>
      </c>
      <c r="AW13" s="1">
        <v>9</v>
      </c>
      <c r="AX13" s="1">
        <v>39</v>
      </c>
      <c r="AY13" s="1">
        <f t="shared" ref="AY13:AY29" si="17">ROUND(AQ13+AU13,0)</f>
        <v>21</v>
      </c>
      <c r="AZ13" s="1">
        <f t="shared" ref="AZ13:AZ29" si="18">ROUND(AR13+AV13,0)</f>
        <v>50</v>
      </c>
      <c r="BA13" s="1">
        <f t="shared" ref="BA13:BA29" si="19">ROUND(AS13+AW13,0)</f>
        <v>18</v>
      </c>
      <c r="BB13" s="1">
        <v>20</v>
      </c>
      <c r="BC13" s="1">
        <f t="shared" ref="BC13:BC44" si="20">ROUND(AT13+AX13,0)</f>
        <v>69</v>
      </c>
      <c r="BD13" s="1">
        <f t="shared" ref="BD13:BD44" si="21">SUM(AY13:BC13)</f>
        <v>178</v>
      </c>
      <c r="BE13" s="1">
        <f t="shared" ref="BE13:BE44" si="22">ROUND(BD13/2,0)</f>
        <v>89</v>
      </c>
      <c r="BF13" s="1"/>
      <c r="BG13" s="1"/>
      <c r="BH13" s="1"/>
      <c r="BI13" s="10"/>
      <c r="BJ13" s="10"/>
      <c r="BK13" s="10"/>
      <c r="BL13" s="10"/>
      <c r="BM13" s="10"/>
      <c r="BN13" s="10"/>
      <c r="BO13" s="10" t="s">
        <v>371</v>
      </c>
      <c r="BP13" s="10" t="s">
        <v>371</v>
      </c>
      <c r="BQ13" s="50"/>
      <c r="BR13" s="50">
        <f t="shared" si="15"/>
        <v>529</v>
      </c>
      <c r="BS13" s="51">
        <f t="shared" si="16"/>
        <v>88.166666666666671</v>
      </c>
      <c r="BT13" s="52" t="str">
        <f t="shared" si="14"/>
        <v>GRADE I with Distinction</v>
      </c>
      <c r="BU13" s="10"/>
    </row>
    <row r="14" spans="1:73" ht="18" customHeight="1" x14ac:dyDescent="0.25">
      <c r="A14" s="2">
        <v>9</v>
      </c>
      <c r="B14" s="5" t="s">
        <v>136</v>
      </c>
      <c r="C14" s="1">
        <v>13</v>
      </c>
      <c r="D14" s="1">
        <v>30</v>
      </c>
      <c r="E14" s="1">
        <v>14</v>
      </c>
      <c r="F14" s="1">
        <v>10</v>
      </c>
      <c r="G14" s="1">
        <v>50</v>
      </c>
      <c r="H14" s="1">
        <f t="shared" si="0"/>
        <v>117</v>
      </c>
      <c r="I14" s="1">
        <f t="shared" si="1"/>
        <v>59</v>
      </c>
      <c r="J14" s="10"/>
      <c r="K14" s="1">
        <v>12</v>
      </c>
      <c r="L14" s="1">
        <v>40</v>
      </c>
      <c r="M14" s="1">
        <v>13</v>
      </c>
      <c r="N14" s="1">
        <v>20</v>
      </c>
      <c r="O14" s="1">
        <v>61</v>
      </c>
      <c r="P14" s="1">
        <f t="shared" si="2"/>
        <v>146</v>
      </c>
      <c r="Q14" s="1">
        <f t="shared" si="3"/>
        <v>73</v>
      </c>
      <c r="R14" s="1"/>
      <c r="S14" s="59">
        <v>24</v>
      </c>
      <c r="T14" s="59">
        <v>45</v>
      </c>
      <c r="U14" s="59">
        <v>22</v>
      </c>
      <c r="V14" s="59">
        <v>19</v>
      </c>
      <c r="W14" s="59">
        <v>67</v>
      </c>
      <c r="X14" s="59">
        <f t="shared" si="4"/>
        <v>177</v>
      </c>
      <c r="Y14" s="59">
        <f t="shared" si="5"/>
        <v>89</v>
      </c>
      <c r="Z14" s="58"/>
      <c r="AA14" s="1">
        <v>22</v>
      </c>
      <c r="AB14" s="1">
        <v>34</v>
      </c>
      <c r="AC14" s="1">
        <v>18</v>
      </c>
      <c r="AD14" s="1">
        <v>17</v>
      </c>
      <c r="AE14" s="1">
        <v>47</v>
      </c>
      <c r="AF14" s="1">
        <f t="shared" si="6"/>
        <v>138</v>
      </c>
      <c r="AG14" s="1">
        <f t="shared" si="7"/>
        <v>69</v>
      </c>
      <c r="AH14" s="10"/>
      <c r="AI14" s="1">
        <v>24</v>
      </c>
      <c r="AJ14" s="1">
        <v>47</v>
      </c>
      <c r="AK14" s="1">
        <v>21</v>
      </c>
      <c r="AL14" s="1">
        <v>20</v>
      </c>
      <c r="AM14" s="1">
        <v>60</v>
      </c>
      <c r="AN14" s="1">
        <f t="shared" si="8"/>
        <v>172</v>
      </c>
      <c r="AO14" s="1">
        <f t="shared" si="9"/>
        <v>86</v>
      </c>
      <c r="AP14" s="10"/>
      <c r="AQ14" s="1">
        <v>12</v>
      </c>
      <c r="AR14" s="1">
        <v>7</v>
      </c>
      <c r="AS14" s="1">
        <v>3.5</v>
      </c>
      <c r="AT14" s="1">
        <v>20</v>
      </c>
      <c r="AU14" s="1">
        <v>8</v>
      </c>
      <c r="AV14" s="1">
        <v>19.5</v>
      </c>
      <c r="AW14" s="1">
        <v>8</v>
      </c>
      <c r="AX14" s="1">
        <v>7</v>
      </c>
      <c r="AY14" s="1">
        <f t="shared" si="17"/>
        <v>20</v>
      </c>
      <c r="AZ14" s="1">
        <f t="shared" si="18"/>
        <v>27</v>
      </c>
      <c r="BA14" s="1">
        <f t="shared" si="19"/>
        <v>12</v>
      </c>
      <c r="BB14" s="1">
        <v>15</v>
      </c>
      <c r="BC14" s="1">
        <f t="shared" si="20"/>
        <v>27</v>
      </c>
      <c r="BD14" s="1">
        <f t="shared" si="21"/>
        <v>101</v>
      </c>
      <c r="BE14" s="1">
        <f t="shared" si="22"/>
        <v>51</v>
      </c>
      <c r="BF14" s="1"/>
      <c r="BG14" s="1"/>
      <c r="BH14" s="1"/>
      <c r="BI14" s="10"/>
      <c r="BJ14" s="10"/>
      <c r="BK14" s="10"/>
      <c r="BL14" s="10"/>
      <c r="BM14" s="10"/>
      <c r="BN14" s="10"/>
      <c r="BO14" s="10" t="s">
        <v>371</v>
      </c>
      <c r="BP14" s="10" t="s">
        <v>371</v>
      </c>
      <c r="BQ14" s="50"/>
      <c r="BR14" s="50">
        <f t="shared" si="15"/>
        <v>427</v>
      </c>
      <c r="BS14" s="51">
        <f t="shared" si="16"/>
        <v>71.166666666666671</v>
      </c>
      <c r="BT14" s="52" t="str">
        <f t="shared" si="14"/>
        <v>GRADE I</v>
      </c>
      <c r="BU14" s="10"/>
    </row>
    <row r="15" spans="1:73" ht="18" customHeight="1" x14ac:dyDescent="0.25">
      <c r="A15" s="2">
        <v>10</v>
      </c>
      <c r="B15" s="5" t="s">
        <v>137</v>
      </c>
      <c r="C15" s="1">
        <v>10</v>
      </c>
      <c r="D15" s="1">
        <v>28</v>
      </c>
      <c r="E15" s="1">
        <v>17</v>
      </c>
      <c r="F15" s="1">
        <v>15</v>
      </c>
      <c r="G15" s="1">
        <v>49</v>
      </c>
      <c r="H15" s="1">
        <f t="shared" si="0"/>
        <v>119</v>
      </c>
      <c r="I15" s="1">
        <f t="shared" si="1"/>
        <v>60</v>
      </c>
      <c r="J15" s="10"/>
      <c r="K15" s="1">
        <v>17</v>
      </c>
      <c r="L15" s="1">
        <v>38</v>
      </c>
      <c r="M15" s="1">
        <v>16</v>
      </c>
      <c r="N15" s="1">
        <v>19</v>
      </c>
      <c r="O15" s="1">
        <v>62</v>
      </c>
      <c r="P15" s="1">
        <f t="shared" si="2"/>
        <v>152</v>
      </c>
      <c r="Q15" s="1">
        <f t="shared" si="3"/>
        <v>76</v>
      </c>
      <c r="R15" s="1"/>
      <c r="S15" s="59">
        <v>23</v>
      </c>
      <c r="T15" s="59">
        <v>42</v>
      </c>
      <c r="U15" s="59">
        <v>15</v>
      </c>
      <c r="V15" s="59">
        <v>19</v>
      </c>
      <c r="W15" s="59">
        <v>66</v>
      </c>
      <c r="X15" s="59">
        <f t="shared" si="4"/>
        <v>165</v>
      </c>
      <c r="Y15" s="59">
        <f t="shared" si="5"/>
        <v>83</v>
      </c>
      <c r="Z15" s="58"/>
      <c r="AA15" s="1">
        <v>24</v>
      </c>
      <c r="AB15" s="1">
        <v>39</v>
      </c>
      <c r="AC15" s="1">
        <v>19</v>
      </c>
      <c r="AD15" s="1">
        <v>18</v>
      </c>
      <c r="AE15" s="1">
        <v>50</v>
      </c>
      <c r="AF15" s="1">
        <f t="shared" si="6"/>
        <v>150</v>
      </c>
      <c r="AG15" s="1">
        <f t="shared" si="7"/>
        <v>75</v>
      </c>
      <c r="AH15" s="10"/>
      <c r="AI15" s="1">
        <v>23</v>
      </c>
      <c r="AJ15" s="1">
        <v>45</v>
      </c>
      <c r="AK15" s="1">
        <v>17</v>
      </c>
      <c r="AL15" s="1">
        <v>19</v>
      </c>
      <c r="AM15" s="1">
        <v>62</v>
      </c>
      <c r="AN15" s="1">
        <f t="shared" si="8"/>
        <v>166</v>
      </c>
      <c r="AO15" s="1">
        <f t="shared" si="9"/>
        <v>83</v>
      </c>
      <c r="AP15" s="10"/>
      <c r="AQ15" s="1">
        <v>10</v>
      </c>
      <c r="AR15" s="1">
        <v>22</v>
      </c>
      <c r="AS15" s="1">
        <v>10</v>
      </c>
      <c r="AT15" s="1">
        <v>32</v>
      </c>
      <c r="AU15" s="1">
        <v>7.5</v>
      </c>
      <c r="AV15" s="1">
        <v>22.5</v>
      </c>
      <c r="AW15" s="1">
        <v>9</v>
      </c>
      <c r="AX15" s="1">
        <v>32</v>
      </c>
      <c r="AY15" s="1">
        <f t="shared" si="17"/>
        <v>18</v>
      </c>
      <c r="AZ15" s="1">
        <f t="shared" si="18"/>
        <v>45</v>
      </c>
      <c r="BA15" s="1">
        <f t="shared" si="19"/>
        <v>19</v>
      </c>
      <c r="BB15" s="1">
        <v>19</v>
      </c>
      <c r="BC15" s="1">
        <f t="shared" si="20"/>
        <v>64</v>
      </c>
      <c r="BD15" s="1">
        <f t="shared" si="21"/>
        <v>165</v>
      </c>
      <c r="BE15" s="1">
        <f t="shared" si="22"/>
        <v>83</v>
      </c>
      <c r="BF15" s="1"/>
      <c r="BG15" s="1"/>
      <c r="BH15" s="1"/>
      <c r="BI15" s="10"/>
      <c r="BJ15" s="10"/>
      <c r="BK15" s="10"/>
      <c r="BL15" s="10"/>
      <c r="BM15" s="10"/>
      <c r="BN15" s="10"/>
      <c r="BO15" s="10" t="s">
        <v>371</v>
      </c>
      <c r="BP15" s="10" t="s">
        <v>371</v>
      </c>
      <c r="BQ15" s="50"/>
      <c r="BR15" s="50">
        <f t="shared" si="15"/>
        <v>460</v>
      </c>
      <c r="BS15" s="51">
        <f t="shared" si="16"/>
        <v>76.666666666666671</v>
      </c>
      <c r="BT15" s="52" t="str">
        <f t="shared" si="14"/>
        <v>GRADE I with Distinction</v>
      </c>
      <c r="BU15" s="10"/>
    </row>
    <row r="16" spans="1:73" ht="18" customHeight="1" x14ac:dyDescent="0.25">
      <c r="A16" s="2">
        <v>11</v>
      </c>
      <c r="B16" s="5" t="s">
        <v>138</v>
      </c>
      <c r="C16" s="1">
        <v>15</v>
      </c>
      <c r="D16" s="1">
        <v>32</v>
      </c>
      <c r="E16" s="1">
        <v>19</v>
      </c>
      <c r="F16" s="1">
        <v>15</v>
      </c>
      <c r="G16" s="1">
        <v>48</v>
      </c>
      <c r="H16" s="1">
        <f t="shared" si="0"/>
        <v>129</v>
      </c>
      <c r="I16" s="1">
        <f t="shared" si="1"/>
        <v>65</v>
      </c>
      <c r="J16" s="10"/>
      <c r="K16" s="1">
        <v>13</v>
      </c>
      <c r="L16" s="1">
        <v>31</v>
      </c>
      <c r="M16" s="1">
        <v>13</v>
      </c>
      <c r="N16" s="1">
        <v>18</v>
      </c>
      <c r="O16" s="1">
        <v>48</v>
      </c>
      <c r="P16" s="1">
        <f t="shared" si="2"/>
        <v>123</v>
      </c>
      <c r="Q16" s="1">
        <f t="shared" si="3"/>
        <v>62</v>
      </c>
      <c r="R16" s="1"/>
      <c r="S16" s="59">
        <v>21</v>
      </c>
      <c r="T16" s="59">
        <v>40</v>
      </c>
      <c r="U16" s="59">
        <v>16</v>
      </c>
      <c r="V16" s="59">
        <v>15</v>
      </c>
      <c r="W16" s="59">
        <v>63</v>
      </c>
      <c r="X16" s="59">
        <f t="shared" si="4"/>
        <v>155</v>
      </c>
      <c r="Y16" s="59">
        <f t="shared" si="5"/>
        <v>78</v>
      </c>
      <c r="Z16" s="58"/>
      <c r="AA16" s="1">
        <v>15</v>
      </c>
      <c r="AB16" s="1">
        <v>36</v>
      </c>
      <c r="AC16" s="1">
        <v>21</v>
      </c>
      <c r="AD16" s="1">
        <v>17</v>
      </c>
      <c r="AE16" s="1">
        <v>41</v>
      </c>
      <c r="AF16" s="1">
        <f t="shared" si="6"/>
        <v>130</v>
      </c>
      <c r="AG16" s="1">
        <f t="shared" si="7"/>
        <v>65</v>
      </c>
      <c r="AH16" s="10"/>
      <c r="AI16" s="1">
        <v>18</v>
      </c>
      <c r="AJ16" s="1">
        <v>32</v>
      </c>
      <c r="AK16" s="1">
        <v>15</v>
      </c>
      <c r="AL16" s="1">
        <v>17</v>
      </c>
      <c r="AM16" s="1">
        <v>49</v>
      </c>
      <c r="AN16" s="1">
        <f t="shared" si="8"/>
        <v>131</v>
      </c>
      <c r="AO16" s="1">
        <f t="shared" si="9"/>
        <v>66</v>
      </c>
      <c r="AP16" s="10"/>
      <c r="AQ16" s="1">
        <v>6.5</v>
      </c>
      <c r="AR16" s="1">
        <v>17</v>
      </c>
      <c r="AS16" s="1">
        <v>6.5</v>
      </c>
      <c r="AT16" s="1">
        <v>17</v>
      </c>
      <c r="AU16" s="1">
        <v>7.5</v>
      </c>
      <c r="AV16" s="1">
        <v>18.5</v>
      </c>
      <c r="AW16" s="1">
        <v>7.5</v>
      </c>
      <c r="AX16" s="1">
        <v>29</v>
      </c>
      <c r="AY16" s="1">
        <f t="shared" si="17"/>
        <v>14</v>
      </c>
      <c r="AZ16" s="1">
        <f t="shared" si="18"/>
        <v>36</v>
      </c>
      <c r="BA16" s="1">
        <f t="shared" si="19"/>
        <v>14</v>
      </c>
      <c r="BB16" s="1">
        <v>16</v>
      </c>
      <c r="BC16" s="1">
        <f t="shared" si="20"/>
        <v>46</v>
      </c>
      <c r="BD16" s="1">
        <f t="shared" si="21"/>
        <v>126</v>
      </c>
      <c r="BE16" s="1">
        <f t="shared" si="22"/>
        <v>63</v>
      </c>
      <c r="BF16" s="1"/>
      <c r="BG16" s="1"/>
      <c r="BH16" s="1"/>
      <c r="BI16" s="10"/>
      <c r="BJ16" s="10"/>
      <c r="BK16" s="10"/>
      <c r="BL16" s="10"/>
      <c r="BM16" s="10"/>
      <c r="BN16" s="10"/>
      <c r="BO16" s="10" t="s">
        <v>371</v>
      </c>
      <c r="BP16" s="10" t="s">
        <v>371</v>
      </c>
      <c r="BQ16" s="50"/>
      <c r="BR16" s="50">
        <f t="shared" si="15"/>
        <v>399</v>
      </c>
      <c r="BS16" s="51">
        <f t="shared" si="16"/>
        <v>66.5</v>
      </c>
      <c r="BT16" s="52" t="str">
        <f t="shared" si="14"/>
        <v>GRADE I</v>
      </c>
      <c r="BU16" s="10"/>
    </row>
    <row r="17" spans="1:73" ht="18" customHeight="1" x14ac:dyDescent="0.25">
      <c r="A17" s="2">
        <v>12</v>
      </c>
      <c r="B17" s="5" t="s">
        <v>139</v>
      </c>
      <c r="C17" s="1">
        <v>11</v>
      </c>
      <c r="D17" s="1">
        <v>27</v>
      </c>
      <c r="E17" s="1">
        <v>16</v>
      </c>
      <c r="F17" s="1">
        <v>14</v>
      </c>
      <c r="G17" s="1">
        <v>48</v>
      </c>
      <c r="H17" s="1">
        <f t="shared" si="0"/>
        <v>116</v>
      </c>
      <c r="I17" s="1">
        <f t="shared" si="1"/>
        <v>58</v>
      </c>
      <c r="J17" s="10"/>
      <c r="K17" s="1">
        <v>13</v>
      </c>
      <c r="L17" s="1">
        <v>34</v>
      </c>
      <c r="M17" s="1">
        <v>19</v>
      </c>
      <c r="N17" s="1">
        <v>18</v>
      </c>
      <c r="O17" s="1">
        <v>52</v>
      </c>
      <c r="P17" s="1">
        <f t="shared" si="2"/>
        <v>136</v>
      </c>
      <c r="Q17" s="1">
        <f t="shared" si="3"/>
        <v>68</v>
      </c>
      <c r="R17" s="1"/>
      <c r="S17" s="59">
        <v>25</v>
      </c>
      <c r="T17" s="59">
        <v>48</v>
      </c>
      <c r="U17" s="59">
        <v>23</v>
      </c>
      <c r="V17" s="59">
        <v>17</v>
      </c>
      <c r="W17" s="59">
        <v>70</v>
      </c>
      <c r="X17" s="59">
        <f t="shared" si="4"/>
        <v>183</v>
      </c>
      <c r="Y17" s="59">
        <f t="shared" si="5"/>
        <v>92</v>
      </c>
      <c r="Z17" s="58"/>
      <c r="AA17" s="1">
        <v>21</v>
      </c>
      <c r="AB17" s="1">
        <v>36</v>
      </c>
      <c r="AC17" s="1">
        <v>19</v>
      </c>
      <c r="AD17" s="1">
        <v>20</v>
      </c>
      <c r="AE17" s="1">
        <v>52</v>
      </c>
      <c r="AF17" s="1">
        <f t="shared" si="6"/>
        <v>148</v>
      </c>
      <c r="AG17" s="1">
        <f t="shared" si="7"/>
        <v>74</v>
      </c>
      <c r="AH17" s="10"/>
      <c r="AI17" s="1">
        <v>25</v>
      </c>
      <c r="AJ17" s="1">
        <v>49</v>
      </c>
      <c r="AK17" s="1">
        <v>25</v>
      </c>
      <c r="AL17" s="1">
        <v>19</v>
      </c>
      <c r="AM17" s="1">
        <v>63</v>
      </c>
      <c r="AN17" s="1">
        <f t="shared" si="8"/>
        <v>181</v>
      </c>
      <c r="AO17" s="1">
        <f t="shared" si="9"/>
        <v>91</v>
      </c>
      <c r="AP17" s="10"/>
      <c r="AQ17" s="1">
        <v>12</v>
      </c>
      <c r="AR17" s="1">
        <v>25</v>
      </c>
      <c r="AS17" s="1">
        <v>10</v>
      </c>
      <c r="AT17" s="1">
        <v>29</v>
      </c>
      <c r="AU17" s="1">
        <v>9</v>
      </c>
      <c r="AV17" s="1">
        <v>21</v>
      </c>
      <c r="AW17" s="1">
        <v>7.5</v>
      </c>
      <c r="AX17" s="1">
        <v>24</v>
      </c>
      <c r="AY17" s="1">
        <f t="shared" si="17"/>
        <v>21</v>
      </c>
      <c r="AZ17" s="1">
        <f t="shared" si="18"/>
        <v>46</v>
      </c>
      <c r="BA17" s="1">
        <f t="shared" si="19"/>
        <v>18</v>
      </c>
      <c r="BB17" s="1">
        <v>20</v>
      </c>
      <c r="BC17" s="1">
        <f t="shared" si="20"/>
        <v>53</v>
      </c>
      <c r="BD17" s="1">
        <f t="shared" si="21"/>
        <v>158</v>
      </c>
      <c r="BE17" s="1">
        <f t="shared" si="22"/>
        <v>79</v>
      </c>
      <c r="BF17" s="1"/>
      <c r="BG17" s="1"/>
      <c r="BH17" s="1"/>
      <c r="BI17" s="10"/>
      <c r="BJ17" s="10"/>
      <c r="BK17" s="10"/>
      <c r="BL17" s="10"/>
      <c r="BM17" s="10"/>
      <c r="BN17" s="10"/>
      <c r="BO17" s="10" t="s">
        <v>371</v>
      </c>
      <c r="BP17" s="10" t="s">
        <v>371</v>
      </c>
      <c r="BQ17" s="50"/>
      <c r="BR17" s="50">
        <f t="shared" si="15"/>
        <v>462</v>
      </c>
      <c r="BS17" s="51">
        <f t="shared" si="16"/>
        <v>77</v>
      </c>
      <c r="BT17" s="52" t="str">
        <f t="shared" si="14"/>
        <v>GRADE I with Distinction</v>
      </c>
      <c r="BU17" s="10"/>
    </row>
    <row r="18" spans="1:73" ht="18" customHeight="1" x14ac:dyDescent="0.25">
      <c r="A18" s="2">
        <v>13</v>
      </c>
      <c r="B18" s="5" t="s">
        <v>140</v>
      </c>
      <c r="C18" s="1">
        <v>12</v>
      </c>
      <c r="D18" s="1">
        <v>26</v>
      </c>
      <c r="E18" s="1">
        <v>18</v>
      </c>
      <c r="F18" s="1">
        <v>16</v>
      </c>
      <c r="G18" s="1">
        <v>51</v>
      </c>
      <c r="H18" s="1">
        <f t="shared" si="0"/>
        <v>123</v>
      </c>
      <c r="I18" s="1">
        <f t="shared" si="1"/>
        <v>62</v>
      </c>
      <c r="J18" s="10"/>
      <c r="K18" s="1">
        <v>13</v>
      </c>
      <c r="L18" s="1">
        <v>45</v>
      </c>
      <c r="M18" s="1">
        <v>22</v>
      </c>
      <c r="N18" s="1">
        <v>20</v>
      </c>
      <c r="O18" s="1">
        <v>57</v>
      </c>
      <c r="P18" s="1">
        <f t="shared" si="2"/>
        <v>157</v>
      </c>
      <c r="Q18" s="1">
        <f t="shared" si="3"/>
        <v>79</v>
      </c>
      <c r="R18" s="1"/>
      <c r="S18" s="59">
        <v>22</v>
      </c>
      <c r="T18" s="59">
        <v>44</v>
      </c>
      <c r="U18" s="59">
        <v>21</v>
      </c>
      <c r="V18" s="59">
        <v>19</v>
      </c>
      <c r="W18" s="59">
        <v>72</v>
      </c>
      <c r="X18" s="59">
        <f t="shared" si="4"/>
        <v>178</v>
      </c>
      <c r="Y18" s="59">
        <f t="shared" si="5"/>
        <v>89</v>
      </c>
      <c r="Z18" s="58"/>
      <c r="AA18" s="1">
        <v>24</v>
      </c>
      <c r="AB18" s="1">
        <v>35</v>
      </c>
      <c r="AC18" s="1">
        <v>21</v>
      </c>
      <c r="AD18" s="1">
        <v>17</v>
      </c>
      <c r="AE18" s="1">
        <v>63</v>
      </c>
      <c r="AF18" s="1">
        <f t="shared" si="6"/>
        <v>160</v>
      </c>
      <c r="AG18" s="1">
        <f t="shared" si="7"/>
        <v>80</v>
      </c>
      <c r="AH18" s="10"/>
      <c r="AI18" s="1">
        <v>20</v>
      </c>
      <c r="AJ18" s="1">
        <v>49</v>
      </c>
      <c r="AK18" s="1">
        <v>24</v>
      </c>
      <c r="AL18" s="1">
        <v>20</v>
      </c>
      <c r="AM18" s="1">
        <v>69</v>
      </c>
      <c r="AN18" s="1">
        <f t="shared" si="8"/>
        <v>182</v>
      </c>
      <c r="AO18" s="1">
        <f t="shared" si="9"/>
        <v>91</v>
      </c>
      <c r="AP18" s="10"/>
      <c r="AQ18" s="1">
        <v>13</v>
      </c>
      <c r="AR18" s="1">
        <v>14</v>
      </c>
      <c r="AS18" s="1">
        <v>12</v>
      </c>
      <c r="AT18" s="1">
        <v>33</v>
      </c>
      <c r="AU18" s="1">
        <v>10</v>
      </c>
      <c r="AV18" s="1">
        <v>23</v>
      </c>
      <c r="AW18" s="1">
        <v>10.5</v>
      </c>
      <c r="AX18" s="1">
        <v>23</v>
      </c>
      <c r="AY18" s="1">
        <f t="shared" si="17"/>
        <v>23</v>
      </c>
      <c r="AZ18" s="1">
        <f t="shared" si="18"/>
        <v>37</v>
      </c>
      <c r="BA18" s="1">
        <f t="shared" si="19"/>
        <v>23</v>
      </c>
      <c r="BB18" s="1">
        <v>20</v>
      </c>
      <c r="BC18" s="1">
        <f t="shared" si="20"/>
        <v>56</v>
      </c>
      <c r="BD18" s="1">
        <f t="shared" si="21"/>
        <v>159</v>
      </c>
      <c r="BE18" s="1">
        <f t="shared" si="22"/>
        <v>80</v>
      </c>
      <c r="BF18" s="1"/>
      <c r="BG18" s="1"/>
      <c r="BH18" s="1"/>
      <c r="BI18" s="10"/>
      <c r="BJ18" s="10"/>
      <c r="BK18" s="10"/>
      <c r="BL18" s="10"/>
      <c r="BM18" s="10"/>
      <c r="BN18" s="10"/>
      <c r="BO18" s="10" t="s">
        <v>372</v>
      </c>
      <c r="BP18" s="10" t="s">
        <v>371</v>
      </c>
      <c r="BQ18" s="50"/>
      <c r="BR18" s="50">
        <f t="shared" si="15"/>
        <v>481</v>
      </c>
      <c r="BS18" s="51">
        <f t="shared" si="16"/>
        <v>80.166666666666671</v>
      </c>
      <c r="BT18" s="52" t="str">
        <f t="shared" si="14"/>
        <v>GRADE I with Distinction</v>
      </c>
      <c r="BU18" s="10"/>
    </row>
    <row r="19" spans="1:73" ht="18" customHeight="1" x14ac:dyDescent="0.25">
      <c r="A19" s="2">
        <v>14</v>
      </c>
      <c r="B19" s="5" t="s">
        <v>141</v>
      </c>
      <c r="C19" s="1">
        <v>10</v>
      </c>
      <c r="D19" s="1">
        <v>28</v>
      </c>
      <c r="E19" s="1">
        <v>14</v>
      </c>
      <c r="F19" s="1">
        <v>12</v>
      </c>
      <c r="G19" s="1">
        <v>55</v>
      </c>
      <c r="H19" s="1">
        <f t="shared" si="0"/>
        <v>119</v>
      </c>
      <c r="I19" s="1">
        <f t="shared" si="1"/>
        <v>60</v>
      </c>
      <c r="J19" s="10"/>
      <c r="K19" s="1">
        <v>15</v>
      </c>
      <c r="L19" s="1">
        <v>36</v>
      </c>
      <c r="M19" s="1">
        <v>11</v>
      </c>
      <c r="N19" s="1">
        <v>20</v>
      </c>
      <c r="O19" s="1">
        <v>64</v>
      </c>
      <c r="P19" s="1">
        <f t="shared" si="2"/>
        <v>146</v>
      </c>
      <c r="Q19" s="1">
        <f t="shared" si="3"/>
        <v>73</v>
      </c>
      <c r="R19" s="1"/>
      <c r="S19" s="59">
        <v>22</v>
      </c>
      <c r="T19" s="59">
        <v>43</v>
      </c>
      <c r="U19" s="59">
        <v>15</v>
      </c>
      <c r="V19" s="59">
        <v>18</v>
      </c>
      <c r="W19" s="59">
        <v>68</v>
      </c>
      <c r="X19" s="59">
        <f t="shared" si="4"/>
        <v>166</v>
      </c>
      <c r="Y19" s="59">
        <f t="shared" si="5"/>
        <v>83</v>
      </c>
      <c r="Z19" s="58"/>
      <c r="AA19" s="1">
        <v>16</v>
      </c>
      <c r="AB19" s="1">
        <v>24</v>
      </c>
      <c r="AC19" s="1">
        <v>5</v>
      </c>
      <c r="AD19" s="1">
        <v>16</v>
      </c>
      <c r="AE19" s="1">
        <v>50</v>
      </c>
      <c r="AF19" s="1">
        <f t="shared" si="6"/>
        <v>111</v>
      </c>
      <c r="AG19" s="1">
        <f t="shared" si="7"/>
        <v>56</v>
      </c>
      <c r="AH19" s="10"/>
      <c r="AI19" s="1">
        <v>20</v>
      </c>
      <c r="AJ19" s="1">
        <v>47</v>
      </c>
      <c r="AK19" s="1">
        <v>19</v>
      </c>
      <c r="AL19" s="1">
        <v>17</v>
      </c>
      <c r="AM19" s="1">
        <v>63</v>
      </c>
      <c r="AN19" s="1">
        <f t="shared" si="8"/>
        <v>166</v>
      </c>
      <c r="AO19" s="1">
        <f t="shared" si="9"/>
        <v>83</v>
      </c>
      <c r="AP19" s="10"/>
      <c r="AQ19" s="1">
        <v>9</v>
      </c>
      <c r="AR19" s="1">
        <v>20.5</v>
      </c>
      <c r="AS19" s="1">
        <v>8.5</v>
      </c>
      <c r="AT19" s="1">
        <v>22</v>
      </c>
      <c r="AU19" s="1">
        <v>5</v>
      </c>
      <c r="AV19" s="1">
        <v>11.5</v>
      </c>
      <c r="AW19" s="1">
        <v>9.5</v>
      </c>
      <c r="AX19" s="1">
        <v>33</v>
      </c>
      <c r="AY19" s="1">
        <f t="shared" si="17"/>
        <v>14</v>
      </c>
      <c r="AZ19" s="1">
        <f t="shared" si="18"/>
        <v>32</v>
      </c>
      <c r="BA19" s="1">
        <f t="shared" si="19"/>
        <v>18</v>
      </c>
      <c r="BB19" s="1">
        <v>14</v>
      </c>
      <c r="BC19" s="1">
        <f t="shared" si="20"/>
        <v>55</v>
      </c>
      <c r="BD19" s="1">
        <f t="shared" si="21"/>
        <v>133</v>
      </c>
      <c r="BE19" s="1">
        <f t="shared" si="22"/>
        <v>67</v>
      </c>
      <c r="BF19" s="1"/>
      <c r="BG19" s="1"/>
      <c r="BH19" s="1"/>
      <c r="BI19" s="10"/>
      <c r="BJ19" s="10"/>
      <c r="BK19" s="10"/>
      <c r="BL19" s="10"/>
      <c r="BM19" s="10"/>
      <c r="BN19" s="10"/>
      <c r="BO19" s="10" t="s">
        <v>371</v>
      </c>
      <c r="BP19" s="10" t="s">
        <v>371</v>
      </c>
      <c r="BQ19" s="50"/>
      <c r="BR19" s="50">
        <f t="shared" si="15"/>
        <v>422</v>
      </c>
      <c r="BS19" s="51">
        <f t="shared" si="16"/>
        <v>70.333333333333329</v>
      </c>
      <c r="BT19" s="52" t="str">
        <f t="shared" si="14"/>
        <v>GRADE I</v>
      </c>
      <c r="BU19" s="10"/>
    </row>
    <row r="20" spans="1:73" ht="18" customHeight="1" x14ac:dyDescent="0.25">
      <c r="A20" s="2">
        <v>15</v>
      </c>
      <c r="B20" s="5" t="s">
        <v>142</v>
      </c>
      <c r="C20" s="1">
        <v>13</v>
      </c>
      <c r="D20" s="1">
        <v>34</v>
      </c>
      <c r="E20" s="1">
        <v>19</v>
      </c>
      <c r="F20" s="1">
        <v>15</v>
      </c>
      <c r="G20" s="1">
        <v>58</v>
      </c>
      <c r="H20" s="1">
        <f t="shared" si="0"/>
        <v>139</v>
      </c>
      <c r="I20" s="1">
        <f t="shared" si="1"/>
        <v>70</v>
      </c>
      <c r="J20" s="10"/>
      <c r="K20" s="1">
        <v>20</v>
      </c>
      <c r="L20" s="1">
        <v>46</v>
      </c>
      <c r="M20" s="1">
        <v>12</v>
      </c>
      <c r="N20" s="1">
        <v>18</v>
      </c>
      <c r="O20" s="1">
        <v>56</v>
      </c>
      <c r="P20" s="1">
        <f t="shared" si="2"/>
        <v>152</v>
      </c>
      <c r="Q20" s="1">
        <f t="shared" si="3"/>
        <v>76</v>
      </c>
      <c r="R20" s="1"/>
      <c r="S20" s="59">
        <v>24</v>
      </c>
      <c r="T20" s="59">
        <v>47</v>
      </c>
      <c r="U20" s="59">
        <v>20</v>
      </c>
      <c r="V20" s="59">
        <v>20</v>
      </c>
      <c r="W20" s="59">
        <v>67</v>
      </c>
      <c r="X20" s="59">
        <f t="shared" si="4"/>
        <v>178</v>
      </c>
      <c r="Y20" s="59">
        <f t="shared" si="5"/>
        <v>89</v>
      </c>
      <c r="Z20" s="58"/>
      <c r="AA20" s="1">
        <v>25</v>
      </c>
      <c r="AB20" s="1">
        <v>37</v>
      </c>
      <c r="AC20" s="1">
        <v>25</v>
      </c>
      <c r="AD20" s="1">
        <v>17</v>
      </c>
      <c r="AE20" s="1">
        <v>53</v>
      </c>
      <c r="AF20" s="1">
        <f t="shared" si="6"/>
        <v>157</v>
      </c>
      <c r="AG20" s="1">
        <f t="shared" si="7"/>
        <v>79</v>
      </c>
      <c r="AH20" s="10"/>
      <c r="AI20" s="1">
        <v>25</v>
      </c>
      <c r="AJ20" s="1">
        <v>50</v>
      </c>
      <c r="AK20" s="1">
        <v>19</v>
      </c>
      <c r="AL20" s="1">
        <v>18</v>
      </c>
      <c r="AM20" s="1">
        <v>75</v>
      </c>
      <c r="AN20" s="1">
        <f t="shared" si="8"/>
        <v>187</v>
      </c>
      <c r="AO20" s="1">
        <f t="shared" si="9"/>
        <v>94</v>
      </c>
      <c r="AP20" s="10"/>
      <c r="AQ20" s="1">
        <v>12</v>
      </c>
      <c r="AR20" s="1">
        <v>21.5</v>
      </c>
      <c r="AS20" s="1">
        <v>12</v>
      </c>
      <c r="AT20" s="1">
        <v>37</v>
      </c>
      <c r="AU20" s="1">
        <v>12</v>
      </c>
      <c r="AV20" s="1">
        <v>23</v>
      </c>
      <c r="AW20" s="1">
        <v>6</v>
      </c>
      <c r="AX20" s="1">
        <v>28</v>
      </c>
      <c r="AY20" s="1">
        <f t="shared" si="17"/>
        <v>24</v>
      </c>
      <c r="AZ20" s="1">
        <f t="shared" si="18"/>
        <v>45</v>
      </c>
      <c r="BA20" s="1">
        <f t="shared" si="19"/>
        <v>18</v>
      </c>
      <c r="BB20" s="1">
        <v>16</v>
      </c>
      <c r="BC20" s="1">
        <f t="shared" si="20"/>
        <v>65</v>
      </c>
      <c r="BD20" s="1">
        <f t="shared" si="21"/>
        <v>168</v>
      </c>
      <c r="BE20" s="1">
        <f t="shared" si="22"/>
        <v>84</v>
      </c>
      <c r="BF20" s="1"/>
      <c r="BG20" s="1"/>
      <c r="BH20" s="1"/>
      <c r="BI20" s="10"/>
      <c r="BJ20" s="10"/>
      <c r="BK20" s="10"/>
      <c r="BL20" s="10"/>
      <c r="BM20" s="10"/>
      <c r="BN20" s="10"/>
      <c r="BO20" s="10" t="s">
        <v>371</v>
      </c>
      <c r="BP20" s="10" t="s">
        <v>371</v>
      </c>
      <c r="BQ20" s="50"/>
      <c r="BR20" s="50">
        <f t="shared" si="15"/>
        <v>492</v>
      </c>
      <c r="BS20" s="51">
        <f t="shared" si="16"/>
        <v>82</v>
      </c>
      <c r="BT20" s="52" t="str">
        <f t="shared" si="14"/>
        <v>GRADE I with Distinction</v>
      </c>
      <c r="BU20" s="10"/>
    </row>
    <row r="21" spans="1:73" ht="18" customHeight="1" x14ac:dyDescent="0.25">
      <c r="A21" s="2">
        <v>16</v>
      </c>
      <c r="B21" s="5" t="s">
        <v>143</v>
      </c>
      <c r="C21" s="1">
        <v>11</v>
      </c>
      <c r="D21" s="1">
        <v>28</v>
      </c>
      <c r="E21" s="1">
        <v>17</v>
      </c>
      <c r="F21" s="1">
        <v>16</v>
      </c>
      <c r="G21" s="1">
        <v>52</v>
      </c>
      <c r="H21" s="1">
        <f t="shared" si="0"/>
        <v>124</v>
      </c>
      <c r="I21" s="1">
        <f t="shared" si="1"/>
        <v>62</v>
      </c>
      <c r="J21" s="10"/>
      <c r="K21" s="1">
        <v>11</v>
      </c>
      <c r="L21" s="1">
        <v>40</v>
      </c>
      <c r="M21" s="1">
        <v>8</v>
      </c>
      <c r="N21" s="1">
        <v>18</v>
      </c>
      <c r="O21" s="1">
        <v>65</v>
      </c>
      <c r="P21" s="1">
        <f t="shared" si="2"/>
        <v>142</v>
      </c>
      <c r="Q21" s="1">
        <f t="shared" si="3"/>
        <v>71</v>
      </c>
      <c r="R21" s="1"/>
      <c r="S21" s="59">
        <v>25</v>
      </c>
      <c r="T21" s="59">
        <v>42</v>
      </c>
      <c r="U21" s="59">
        <v>20</v>
      </c>
      <c r="V21" s="59">
        <v>19</v>
      </c>
      <c r="W21" s="59">
        <v>63</v>
      </c>
      <c r="X21" s="59">
        <f t="shared" si="4"/>
        <v>169</v>
      </c>
      <c r="Y21" s="59">
        <f t="shared" si="5"/>
        <v>85</v>
      </c>
      <c r="Z21" s="58"/>
      <c r="AA21" s="1">
        <v>23</v>
      </c>
      <c r="AB21" s="1">
        <v>37</v>
      </c>
      <c r="AC21" s="1">
        <v>16</v>
      </c>
      <c r="AD21" s="1">
        <v>18</v>
      </c>
      <c r="AE21" s="1">
        <v>63</v>
      </c>
      <c r="AF21" s="1">
        <f t="shared" si="6"/>
        <v>157</v>
      </c>
      <c r="AG21" s="1">
        <f t="shared" si="7"/>
        <v>79</v>
      </c>
      <c r="AH21" s="10"/>
      <c r="AI21" s="1">
        <v>23</v>
      </c>
      <c r="AJ21" s="1">
        <v>48</v>
      </c>
      <c r="AK21" s="1">
        <v>19</v>
      </c>
      <c r="AL21" s="1">
        <v>17</v>
      </c>
      <c r="AM21" s="1">
        <v>58</v>
      </c>
      <c r="AN21" s="1">
        <f t="shared" si="8"/>
        <v>165</v>
      </c>
      <c r="AO21" s="1">
        <f t="shared" si="9"/>
        <v>83</v>
      </c>
      <c r="AP21" s="10"/>
      <c r="AQ21" s="1">
        <v>12</v>
      </c>
      <c r="AR21" s="1">
        <v>10</v>
      </c>
      <c r="AS21" s="1">
        <v>7.5</v>
      </c>
      <c r="AT21" s="1">
        <v>30</v>
      </c>
      <c r="AU21" s="1">
        <v>9</v>
      </c>
      <c r="AV21" s="1">
        <v>23</v>
      </c>
      <c r="AW21" s="1">
        <v>7.5</v>
      </c>
      <c r="AX21" s="1">
        <v>30</v>
      </c>
      <c r="AY21" s="1">
        <f t="shared" si="17"/>
        <v>21</v>
      </c>
      <c r="AZ21" s="1">
        <f t="shared" si="18"/>
        <v>33</v>
      </c>
      <c r="BA21" s="1">
        <f t="shared" si="19"/>
        <v>15</v>
      </c>
      <c r="BB21" s="1">
        <v>16</v>
      </c>
      <c r="BC21" s="1">
        <f t="shared" si="20"/>
        <v>60</v>
      </c>
      <c r="BD21" s="1">
        <f t="shared" si="21"/>
        <v>145</v>
      </c>
      <c r="BE21" s="1">
        <f t="shared" si="22"/>
        <v>73</v>
      </c>
      <c r="BF21" s="1"/>
      <c r="BG21" s="1"/>
      <c r="BH21" s="1"/>
      <c r="BI21" s="10"/>
      <c r="BJ21" s="10"/>
      <c r="BK21" s="10"/>
      <c r="BL21" s="10"/>
      <c r="BM21" s="10"/>
      <c r="BN21" s="10"/>
      <c r="BO21" s="10" t="s">
        <v>371</v>
      </c>
      <c r="BP21" s="10" t="s">
        <v>371</v>
      </c>
      <c r="BQ21" s="50"/>
      <c r="BR21" s="50">
        <f t="shared" si="15"/>
        <v>453</v>
      </c>
      <c r="BS21" s="51">
        <f t="shared" si="16"/>
        <v>75.5</v>
      </c>
      <c r="BT21" s="52" t="str">
        <f t="shared" si="14"/>
        <v>GRADE I with Distinction</v>
      </c>
      <c r="BU21" s="10"/>
    </row>
    <row r="22" spans="1:73" ht="18" customHeight="1" x14ac:dyDescent="0.25">
      <c r="A22" s="2">
        <v>17</v>
      </c>
      <c r="B22" s="5" t="s">
        <v>144</v>
      </c>
      <c r="C22" s="1">
        <v>15</v>
      </c>
      <c r="D22" s="1">
        <v>31</v>
      </c>
      <c r="E22" s="1">
        <v>20</v>
      </c>
      <c r="F22" s="1">
        <v>18</v>
      </c>
      <c r="G22" s="1">
        <v>58</v>
      </c>
      <c r="H22" s="1">
        <f t="shared" si="0"/>
        <v>142</v>
      </c>
      <c r="I22" s="1">
        <f t="shared" si="1"/>
        <v>71</v>
      </c>
      <c r="J22" s="10"/>
      <c r="K22" s="1">
        <v>15</v>
      </c>
      <c r="L22" s="1">
        <v>37</v>
      </c>
      <c r="M22" s="1">
        <v>18</v>
      </c>
      <c r="N22" s="1">
        <v>17</v>
      </c>
      <c r="O22" s="1">
        <v>60</v>
      </c>
      <c r="P22" s="1">
        <f t="shared" si="2"/>
        <v>147</v>
      </c>
      <c r="Q22" s="1">
        <f t="shared" si="3"/>
        <v>74</v>
      </c>
      <c r="R22" s="1"/>
      <c r="S22" s="59">
        <v>24</v>
      </c>
      <c r="T22" s="59">
        <v>43</v>
      </c>
      <c r="U22" s="59">
        <v>20</v>
      </c>
      <c r="V22" s="59">
        <v>19</v>
      </c>
      <c r="W22" s="59">
        <v>74</v>
      </c>
      <c r="X22" s="59">
        <f t="shared" si="4"/>
        <v>180</v>
      </c>
      <c r="Y22" s="59">
        <f t="shared" si="5"/>
        <v>90</v>
      </c>
      <c r="Z22" s="58"/>
      <c r="AA22" s="1">
        <v>18</v>
      </c>
      <c r="AB22" s="1">
        <v>38</v>
      </c>
      <c r="AC22" s="1">
        <v>23</v>
      </c>
      <c r="AD22" s="1">
        <v>18</v>
      </c>
      <c r="AE22" s="1">
        <v>47</v>
      </c>
      <c r="AF22" s="1">
        <f t="shared" si="6"/>
        <v>144</v>
      </c>
      <c r="AG22" s="1">
        <f t="shared" si="7"/>
        <v>72</v>
      </c>
      <c r="AH22" s="10"/>
      <c r="AI22" s="1">
        <v>19</v>
      </c>
      <c r="AJ22" s="1">
        <v>49</v>
      </c>
      <c r="AK22" s="1">
        <v>23</v>
      </c>
      <c r="AL22" s="1">
        <v>19</v>
      </c>
      <c r="AM22" s="1">
        <v>75</v>
      </c>
      <c r="AN22" s="1">
        <f t="shared" si="8"/>
        <v>185</v>
      </c>
      <c r="AO22" s="1">
        <f t="shared" si="9"/>
        <v>93</v>
      </c>
      <c r="AP22" s="10"/>
      <c r="AQ22" s="1">
        <v>10</v>
      </c>
      <c r="AR22" s="1">
        <v>18.5</v>
      </c>
      <c r="AS22" s="1">
        <v>8</v>
      </c>
      <c r="AT22" s="1">
        <v>24</v>
      </c>
      <c r="AU22" s="1">
        <v>8</v>
      </c>
      <c r="AV22" s="1">
        <v>23.5</v>
      </c>
      <c r="AW22" s="1">
        <v>7</v>
      </c>
      <c r="AX22" s="1">
        <v>34</v>
      </c>
      <c r="AY22" s="1">
        <f t="shared" si="17"/>
        <v>18</v>
      </c>
      <c r="AZ22" s="1">
        <f t="shared" si="18"/>
        <v>42</v>
      </c>
      <c r="BA22" s="1">
        <f t="shared" si="19"/>
        <v>15</v>
      </c>
      <c r="BB22" s="1">
        <v>18</v>
      </c>
      <c r="BC22" s="1">
        <f t="shared" si="20"/>
        <v>58</v>
      </c>
      <c r="BD22" s="1">
        <f t="shared" si="21"/>
        <v>151</v>
      </c>
      <c r="BE22" s="1">
        <f t="shared" si="22"/>
        <v>76</v>
      </c>
      <c r="BF22" s="1"/>
      <c r="BG22" s="1"/>
      <c r="BH22" s="1"/>
      <c r="BI22" s="10"/>
      <c r="BJ22" s="10"/>
      <c r="BK22" s="10"/>
      <c r="BL22" s="10"/>
      <c r="BM22" s="10"/>
      <c r="BN22" s="10"/>
      <c r="BO22" s="10" t="s">
        <v>371</v>
      </c>
      <c r="BP22" s="10" t="s">
        <v>371</v>
      </c>
      <c r="BQ22" s="50"/>
      <c r="BR22" s="50">
        <f t="shared" si="15"/>
        <v>476</v>
      </c>
      <c r="BS22" s="51">
        <f t="shared" si="16"/>
        <v>79.333333333333329</v>
      </c>
      <c r="BT22" s="52" t="str">
        <f t="shared" si="14"/>
        <v>GRADE I with Distinction</v>
      </c>
      <c r="BU22" s="10"/>
    </row>
    <row r="23" spans="1:73" ht="18" customHeight="1" x14ac:dyDescent="0.25">
      <c r="A23" s="2">
        <v>18</v>
      </c>
      <c r="B23" s="5" t="s">
        <v>145</v>
      </c>
      <c r="C23" s="1">
        <v>18</v>
      </c>
      <c r="D23" s="1">
        <v>34</v>
      </c>
      <c r="E23" s="1">
        <v>18</v>
      </c>
      <c r="F23" s="1">
        <v>16</v>
      </c>
      <c r="G23" s="1">
        <v>59</v>
      </c>
      <c r="H23" s="1">
        <f t="shared" si="0"/>
        <v>145</v>
      </c>
      <c r="I23" s="1">
        <f t="shared" si="1"/>
        <v>73</v>
      </c>
      <c r="J23" s="10"/>
      <c r="K23" s="1">
        <v>21</v>
      </c>
      <c r="L23" s="1">
        <v>48</v>
      </c>
      <c r="M23" s="1">
        <v>21</v>
      </c>
      <c r="N23" s="1">
        <v>18</v>
      </c>
      <c r="O23" s="1">
        <v>73</v>
      </c>
      <c r="P23" s="1">
        <f t="shared" si="2"/>
        <v>181</v>
      </c>
      <c r="Q23" s="1">
        <f t="shared" si="3"/>
        <v>91</v>
      </c>
      <c r="R23" s="1"/>
      <c r="S23" s="59">
        <v>25</v>
      </c>
      <c r="T23" s="59">
        <v>46</v>
      </c>
      <c r="U23" s="59">
        <v>22</v>
      </c>
      <c r="V23" s="59">
        <v>20</v>
      </c>
      <c r="W23" s="59">
        <v>75</v>
      </c>
      <c r="X23" s="59">
        <f t="shared" si="4"/>
        <v>188</v>
      </c>
      <c r="Y23" s="59">
        <f t="shared" si="5"/>
        <v>94</v>
      </c>
      <c r="Z23" s="58"/>
      <c r="AA23" s="1">
        <v>23</v>
      </c>
      <c r="AB23" s="1">
        <v>43</v>
      </c>
      <c r="AC23" s="1">
        <v>24</v>
      </c>
      <c r="AD23" s="1">
        <v>18</v>
      </c>
      <c r="AE23" s="1">
        <v>71</v>
      </c>
      <c r="AF23" s="1">
        <f t="shared" si="6"/>
        <v>179</v>
      </c>
      <c r="AG23" s="1">
        <f t="shared" si="7"/>
        <v>90</v>
      </c>
      <c r="AH23" s="10"/>
      <c r="AI23" s="1">
        <v>24</v>
      </c>
      <c r="AJ23" s="1">
        <v>50</v>
      </c>
      <c r="AK23" s="1">
        <v>21</v>
      </c>
      <c r="AL23" s="1">
        <v>20</v>
      </c>
      <c r="AM23" s="1">
        <v>77</v>
      </c>
      <c r="AN23" s="1">
        <f t="shared" si="8"/>
        <v>192</v>
      </c>
      <c r="AO23" s="1">
        <f t="shared" si="9"/>
        <v>96</v>
      </c>
      <c r="AP23" s="10"/>
      <c r="AQ23" s="1">
        <v>13</v>
      </c>
      <c r="AR23" s="1">
        <v>24</v>
      </c>
      <c r="AS23" s="1">
        <v>11</v>
      </c>
      <c r="AT23" s="1">
        <v>37</v>
      </c>
      <c r="AU23" s="1">
        <v>10</v>
      </c>
      <c r="AV23" s="1">
        <v>24.5</v>
      </c>
      <c r="AW23" s="1">
        <v>8.5</v>
      </c>
      <c r="AX23" s="1">
        <v>34</v>
      </c>
      <c r="AY23" s="1">
        <f t="shared" si="17"/>
        <v>23</v>
      </c>
      <c r="AZ23" s="1">
        <f t="shared" si="18"/>
        <v>49</v>
      </c>
      <c r="BA23" s="1">
        <f t="shared" si="19"/>
        <v>20</v>
      </c>
      <c r="BB23" s="1">
        <v>20</v>
      </c>
      <c r="BC23" s="1">
        <f t="shared" si="20"/>
        <v>71</v>
      </c>
      <c r="BD23" s="1">
        <f t="shared" si="21"/>
        <v>183</v>
      </c>
      <c r="BE23" s="1">
        <f t="shared" si="22"/>
        <v>92</v>
      </c>
      <c r="BF23" s="1"/>
      <c r="BG23" s="1"/>
      <c r="BH23" s="1"/>
      <c r="BI23" s="10"/>
      <c r="BJ23" s="10"/>
      <c r="BK23" s="10"/>
      <c r="BL23" s="10"/>
      <c r="BM23" s="10"/>
      <c r="BN23" s="10"/>
      <c r="BO23" s="10" t="s">
        <v>371</v>
      </c>
      <c r="BP23" s="10" t="s">
        <v>371</v>
      </c>
      <c r="BQ23" s="50"/>
      <c r="BR23" s="50">
        <f t="shared" si="15"/>
        <v>536</v>
      </c>
      <c r="BS23" s="51">
        <f t="shared" si="16"/>
        <v>89.333333333333329</v>
      </c>
      <c r="BT23" s="52" t="str">
        <f t="shared" si="14"/>
        <v>GRADE I with Distinction</v>
      </c>
      <c r="BU23" s="10"/>
    </row>
    <row r="24" spans="1:73" ht="18" customHeight="1" x14ac:dyDescent="0.25">
      <c r="A24" s="2">
        <v>19</v>
      </c>
      <c r="B24" s="5" t="s">
        <v>146</v>
      </c>
      <c r="C24" s="1">
        <v>18</v>
      </c>
      <c r="D24" s="1">
        <v>33</v>
      </c>
      <c r="E24" s="1">
        <v>17</v>
      </c>
      <c r="F24" s="1">
        <v>18</v>
      </c>
      <c r="G24" s="1">
        <v>51</v>
      </c>
      <c r="H24" s="1">
        <f t="shared" si="0"/>
        <v>137</v>
      </c>
      <c r="I24" s="1">
        <f t="shared" si="1"/>
        <v>69</v>
      </c>
      <c r="J24" s="10"/>
      <c r="K24" s="1">
        <v>21</v>
      </c>
      <c r="L24" s="1">
        <v>44</v>
      </c>
      <c r="M24" s="1">
        <v>20</v>
      </c>
      <c r="N24" s="1">
        <v>20</v>
      </c>
      <c r="O24" s="1">
        <v>63</v>
      </c>
      <c r="P24" s="1">
        <f t="shared" si="2"/>
        <v>168</v>
      </c>
      <c r="Q24" s="1">
        <f t="shared" si="3"/>
        <v>84</v>
      </c>
      <c r="R24" s="1"/>
      <c r="S24" s="59">
        <v>23</v>
      </c>
      <c r="T24" s="59">
        <v>46</v>
      </c>
      <c r="U24" s="59">
        <v>21</v>
      </c>
      <c r="V24" s="59">
        <v>16</v>
      </c>
      <c r="W24" s="59">
        <v>65</v>
      </c>
      <c r="X24" s="59">
        <f t="shared" si="4"/>
        <v>171</v>
      </c>
      <c r="Y24" s="59">
        <f t="shared" si="5"/>
        <v>86</v>
      </c>
      <c r="Z24" s="58"/>
      <c r="AA24" s="1">
        <v>24</v>
      </c>
      <c r="AB24" s="1">
        <v>18</v>
      </c>
      <c r="AC24" s="1">
        <v>7</v>
      </c>
      <c r="AD24" s="1">
        <v>14</v>
      </c>
      <c r="AE24" s="1">
        <v>29</v>
      </c>
      <c r="AF24" s="1">
        <f t="shared" si="6"/>
        <v>92</v>
      </c>
      <c r="AG24" s="1">
        <f t="shared" si="7"/>
        <v>46</v>
      </c>
      <c r="AH24" s="10"/>
      <c r="AI24" s="1">
        <v>21</v>
      </c>
      <c r="AJ24" s="1">
        <v>40</v>
      </c>
      <c r="AK24" s="1">
        <v>17</v>
      </c>
      <c r="AL24" s="1">
        <v>20</v>
      </c>
      <c r="AM24" s="1">
        <v>69</v>
      </c>
      <c r="AN24" s="1">
        <f t="shared" si="8"/>
        <v>167</v>
      </c>
      <c r="AO24" s="1">
        <f t="shared" si="9"/>
        <v>84</v>
      </c>
      <c r="AP24" s="10"/>
      <c r="AQ24" s="1">
        <v>12</v>
      </c>
      <c r="AR24" s="1">
        <v>12</v>
      </c>
      <c r="AS24" s="1">
        <v>8.5</v>
      </c>
      <c r="AT24" s="1">
        <v>33</v>
      </c>
      <c r="AU24" s="1">
        <v>11</v>
      </c>
      <c r="AV24" s="1">
        <v>13.5</v>
      </c>
      <c r="AW24" s="1">
        <v>5.5</v>
      </c>
      <c r="AX24" s="1">
        <v>28</v>
      </c>
      <c r="AY24" s="1">
        <f t="shared" si="17"/>
        <v>23</v>
      </c>
      <c r="AZ24" s="1">
        <f t="shared" si="18"/>
        <v>26</v>
      </c>
      <c r="BA24" s="1">
        <f t="shared" si="19"/>
        <v>14</v>
      </c>
      <c r="BB24" s="1">
        <v>19</v>
      </c>
      <c r="BC24" s="1">
        <f t="shared" si="20"/>
        <v>61</v>
      </c>
      <c r="BD24" s="1">
        <f t="shared" si="21"/>
        <v>143</v>
      </c>
      <c r="BE24" s="1">
        <f t="shared" si="22"/>
        <v>72</v>
      </c>
      <c r="BF24" s="1"/>
      <c r="BG24" s="1"/>
      <c r="BH24" s="1"/>
      <c r="BI24" s="10"/>
      <c r="BJ24" s="10"/>
      <c r="BK24" s="10"/>
      <c r="BL24" s="10"/>
      <c r="BM24" s="10"/>
      <c r="BN24" s="10"/>
      <c r="BO24" s="10" t="s">
        <v>371</v>
      </c>
      <c r="BP24" s="10" t="s">
        <v>371</v>
      </c>
      <c r="BQ24" s="50"/>
      <c r="BR24" s="50">
        <f t="shared" si="15"/>
        <v>441</v>
      </c>
      <c r="BS24" s="51">
        <f t="shared" si="16"/>
        <v>73.5</v>
      </c>
      <c r="BT24" s="52" t="str">
        <f t="shared" si="14"/>
        <v>GRADE I</v>
      </c>
      <c r="BU24" s="10"/>
    </row>
    <row r="25" spans="1:73" ht="18" customHeight="1" x14ac:dyDescent="0.25">
      <c r="A25" s="2">
        <v>20</v>
      </c>
      <c r="B25" s="5" t="s">
        <v>147</v>
      </c>
      <c r="C25" s="1">
        <v>17</v>
      </c>
      <c r="D25" s="1">
        <v>31</v>
      </c>
      <c r="E25" s="1">
        <v>18</v>
      </c>
      <c r="F25" s="1">
        <v>14</v>
      </c>
      <c r="G25" s="1">
        <v>61</v>
      </c>
      <c r="H25" s="1">
        <f t="shared" si="0"/>
        <v>141</v>
      </c>
      <c r="I25" s="1">
        <f t="shared" si="1"/>
        <v>71</v>
      </c>
      <c r="J25" s="10"/>
      <c r="K25" s="1">
        <v>15</v>
      </c>
      <c r="L25" s="1">
        <v>47</v>
      </c>
      <c r="M25" s="1">
        <v>16</v>
      </c>
      <c r="N25" s="1">
        <v>20</v>
      </c>
      <c r="O25" s="1">
        <v>64</v>
      </c>
      <c r="P25" s="1">
        <f t="shared" si="2"/>
        <v>162</v>
      </c>
      <c r="Q25" s="1">
        <f t="shared" si="3"/>
        <v>81</v>
      </c>
      <c r="R25" s="1"/>
      <c r="S25" s="59">
        <v>25</v>
      </c>
      <c r="T25" s="59">
        <v>44</v>
      </c>
      <c r="U25" s="59">
        <v>21</v>
      </c>
      <c r="V25" s="59">
        <v>19</v>
      </c>
      <c r="W25" s="59">
        <v>68</v>
      </c>
      <c r="X25" s="59">
        <f t="shared" si="4"/>
        <v>177</v>
      </c>
      <c r="Y25" s="59">
        <f t="shared" si="5"/>
        <v>89</v>
      </c>
      <c r="Z25" s="58"/>
      <c r="AA25" s="1">
        <v>25</v>
      </c>
      <c r="AB25" s="1">
        <v>38</v>
      </c>
      <c r="AC25" s="1">
        <v>21</v>
      </c>
      <c r="AD25" s="1">
        <v>18</v>
      </c>
      <c r="AE25" s="1">
        <v>65</v>
      </c>
      <c r="AF25" s="1">
        <f t="shared" si="6"/>
        <v>167</v>
      </c>
      <c r="AG25" s="1">
        <f t="shared" si="7"/>
        <v>84</v>
      </c>
      <c r="AH25" s="10"/>
      <c r="AI25" s="1">
        <v>25</v>
      </c>
      <c r="AJ25" s="1">
        <v>50</v>
      </c>
      <c r="AK25" s="1">
        <v>23</v>
      </c>
      <c r="AL25" s="1">
        <v>19</v>
      </c>
      <c r="AM25" s="1">
        <v>73</v>
      </c>
      <c r="AN25" s="1">
        <f t="shared" si="8"/>
        <v>190</v>
      </c>
      <c r="AO25" s="1">
        <f t="shared" si="9"/>
        <v>95</v>
      </c>
      <c r="AP25" s="10"/>
      <c r="AQ25" s="1">
        <v>13</v>
      </c>
      <c r="AR25" s="1">
        <v>20</v>
      </c>
      <c r="AS25" s="1">
        <v>10</v>
      </c>
      <c r="AT25" s="1">
        <v>31</v>
      </c>
      <c r="AU25" s="1">
        <v>9</v>
      </c>
      <c r="AV25" s="1">
        <v>21</v>
      </c>
      <c r="AW25" s="1">
        <v>8.5</v>
      </c>
      <c r="AX25" s="1">
        <v>30</v>
      </c>
      <c r="AY25" s="1">
        <f t="shared" si="17"/>
        <v>22</v>
      </c>
      <c r="AZ25" s="1">
        <f t="shared" si="18"/>
        <v>41</v>
      </c>
      <c r="BA25" s="1">
        <f t="shared" si="19"/>
        <v>19</v>
      </c>
      <c r="BB25" s="1">
        <v>19</v>
      </c>
      <c r="BC25" s="1">
        <f t="shared" si="20"/>
        <v>61</v>
      </c>
      <c r="BD25" s="1">
        <f t="shared" si="21"/>
        <v>162</v>
      </c>
      <c r="BE25" s="1">
        <f t="shared" si="22"/>
        <v>81</v>
      </c>
      <c r="BF25" s="1"/>
      <c r="BG25" s="1"/>
      <c r="BH25" s="1"/>
      <c r="BI25" s="10"/>
      <c r="BJ25" s="10"/>
      <c r="BK25" s="10"/>
      <c r="BL25" s="10"/>
      <c r="BM25" s="10"/>
      <c r="BN25" s="10"/>
      <c r="BO25" s="10" t="s">
        <v>371</v>
      </c>
      <c r="BP25" s="10" t="s">
        <v>371</v>
      </c>
      <c r="BQ25" s="50"/>
      <c r="BR25" s="50">
        <f t="shared" si="15"/>
        <v>501</v>
      </c>
      <c r="BS25" s="51">
        <f t="shared" si="16"/>
        <v>83.5</v>
      </c>
      <c r="BT25" s="52" t="str">
        <f t="shared" si="14"/>
        <v>GRADE I with Distinction</v>
      </c>
      <c r="BU25" s="10"/>
    </row>
    <row r="26" spans="1:73" ht="18" customHeight="1" x14ac:dyDescent="0.25">
      <c r="A26" s="2">
        <v>21</v>
      </c>
      <c r="B26" s="5" t="s">
        <v>148</v>
      </c>
      <c r="C26" s="1">
        <v>15</v>
      </c>
      <c r="D26" s="1">
        <v>32</v>
      </c>
      <c r="E26" s="1">
        <v>18</v>
      </c>
      <c r="F26" s="1">
        <v>18</v>
      </c>
      <c r="G26" s="1">
        <v>64</v>
      </c>
      <c r="H26" s="1">
        <f t="shared" si="0"/>
        <v>147</v>
      </c>
      <c r="I26" s="1">
        <f t="shared" si="1"/>
        <v>74</v>
      </c>
      <c r="J26" s="10"/>
      <c r="K26" s="1">
        <v>15</v>
      </c>
      <c r="L26" s="1">
        <v>42</v>
      </c>
      <c r="M26" s="1">
        <v>16</v>
      </c>
      <c r="N26" s="1">
        <v>20</v>
      </c>
      <c r="O26" s="1">
        <v>61</v>
      </c>
      <c r="P26" s="1">
        <f t="shared" si="2"/>
        <v>154</v>
      </c>
      <c r="Q26" s="1">
        <f t="shared" si="3"/>
        <v>77</v>
      </c>
      <c r="R26" s="1"/>
      <c r="S26" s="59">
        <v>25</v>
      </c>
      <c r="T26" s="59">
        <v>45</v>
      </c>
      <c r="U26" s="59">
        <v>21</v>
      </c>
      <c r="V26" s="59">
        <v>17</v>
      </c>
      <c r="W26" s="59">
        <v>68</v>
      </c>
      <c r="X26" s="59">
        <f t="shared" si="4"/>
        <v>176</v>
      </c>
      <c r="Y26" s="59">
        <f t="shared" si="5"/>
        <v>88</v>
      </c>
      <c r="Z26" s="58"/>
      <c r="AA26" s="1">
        <v>24</v>
      </c>
      <c r="AB26" s="1">
        <v>37</v>
      </c>
      <c r="AC26" s="1">
        <v>19</v>
      </c>
      <c r="AD26" s="1">
        <v>17</v>
      </c>
      <c r="AE26" s="1">
        <v>54</v>
      </c>
      <c r="AF26" s="1">
        <f t="shared" si="6"/>
        <v>151</v>
      </c>
      <c r="AG26" s="1">
        <f t="shared" si="7"/>
        <v>76</v>
      </c>
      <c r="AH26" s="10"/>
      <c r="AI26" s="1">
        <v>25</v>
      </c>
      <c r="AJ26" s="1">
        <v>48</v>
      </c>
      <c r="AK26" s="1">
        <v>17</v>
      </c>
      <c r="AL26" s="1">
        <v>18</v>
      </c>
      <c r="AM26" s="1">
        <v>64</v>
      </c>
      <c r="AN26" s="1">
        <f t="shared" si="8"/>
        <v>172</v>
      </c>
      <c r="AO26" s="1">
        <f t="shared" si="9"/>
        <v>86</v>
      </c>
      <c r="AP26" s="10"/>
      <c r="AQ26" s="1">
        <v>13</v>
      </c>
      <c r="AR26" s="1">
        <v>19.5</v>
      </c>
      <c r="AS26" s="1">
        <v>3</v>
      </c>
      <c r="AT26" s="1">
        <v>29</v>
      </c>
      <c r="AU26" s="1">
        <v>8</v>
      </c>
      <c r="AV26" s="1">
        <v>18</v>
      </c>
      <c r="AW26" s="1">
        <v>7.5</v>
      </c>
      <c r="AX26" s="1">
        <v>18</v>
      </c>
      <c r="AY26" s="1">
        <f t="shared" si="17"/>
        <v>21</v>
      </c>
      <c r="AZ26" s="1">
        <f t="shared" si="18"/>
        <v>38</v>
      </c>
      <c r="BA26" s="1">
        <f t="shared" si="19"/>
        <v>11</v>
      </c>
      <c r="BB26" s="1">
        <v>15</v>
      </c>
      <c r="BC26" s="1">
        <f t="shared" si="20"/>
        <v>47</v>
      </c>
      <c r="BD26" s="1">
        <f t="shared" si="21"/>
        <v>132</v>
      </c>
      <c r="BE26" s="1">
        <f t="shared" si="22"/>
        <v>66</v>
      </c>
      <c r="BF26" s="1"/>
      <c r="BG26" s="1"/>
      <c r="BH26" s="1"/>
      <c r="BI26" s="10"/>
      <c r="BJ26" s="10"/>
      <c r="BK26" s="10"/>
      <c r="BL26" s="10"/>
      <c r="BM26" s="10"/>
      <c r="BN26" s="10"/>
      <c r="BO26" s="10" t="s">
        <v>371</v>
      </c>
      <c r="BP26" s="10" t="s">
        <v>371</v>
      </c>
      <c r="BQ26" s="50"/>
      <c r="BR26" s="50">
        <f t="shared" si="15"/>
        <v>467</v>
      </c>
      <c r="BS26" s="51">
        <f t="shared" si="16"/>
        <v>77.833333333333329</v>
      </c>
      <c r="BT26" s="52" t="str">
        <f t="shared" si="14"/>
        <v>GRADE I with Distinction</v>
      </c>
      <c r="BU26" s="10"/>
    </row>
    <row r="27" spans="1:73" ht="18" customHeight="1" x14ac:dyDescent="0.25">
      <c r="A27" s="2">
        <v>22</v>
      </c>
      <c r="B27" s="5" t="s">
        <v>149</v>
      </c>
      <c r="C27" s="1">
        <v>19</v>
      </c>
      <c r="D27" s="1">
        <v>33</v>
      </c>
      <c r="E27" s="1">
        <v>16</v>
      </c>
      <c r="F27" s="1">
        <v>16</v>
      </c>
      <c r="G27" s="1">
        <v>54</v>
      </c>
      <c r="H27" s="1">
        <f t="shared" si="0"/>
        <v>138</v>
      </c>
      <c r="I27" s="1">
        <f t="shared" si="1"/>
        <v>69</v>
      </c>
      <c r="J27" s="10"/>
      <c r="K27" s="1">
        <v>10</v>
      </c>
      <c r="L27" s="1">
        <v>30</v>
      </c>
      <c r="M27" s="1">
        <v>4</v>
      </c>
      <c r="N27" s="1">
        <v>18</v>
      </c>
      <c r="O27" s="1">
        <v>48</v>
      </c>
      <c r="P27" s="1">
        <f t="shared" si="2"/>
        <v>110</v>
      </c>
      <c r="Q27" s="1">
        <f t="shared" si="3"/>
        <v>55</v>
      </c>
      <c r="R27" s="1"/>
      <c r="S27" s="59">
        <v>24</v>
      </c>
      <c r="T27" s="59">
        <v>38</v>
      </c>
      <c r="U27" s="59">
        <v>19</v>
      </c>
      <c r="V27" s="59">
        <v>19</v>
      </c>
      <c r="W27" s="59">
        <v>58</v>
      </c>
      <c r="X27" s="59">
        <f t="shared" si="4"/>
        <v>158</v>
      </c>
      <c r="Y27" s="59">
        <f t="shared" si="5"/>
        <v>79</v>
      </c>
      <c r="Z27" s="58"/>
      <c r="AA27" s="1">
        <v>24</v>
      </c>
      <c r="AB27" s="1">
        <v>32</v>
      </c>
      <c r="AC27" s="1">
        <v>13</v>
      </c>
      <c r="AD27" s="1">
        <v>17</v>
      </c>
      <c r="AE27" s="1">
        <v>41</v>
      </c>
      <c r="AF27" s="1">
        <f t="shared" si="6"/>
        <v>127</v>
      </c>
      <c r="AG27" s="1">
        <f t="shared" si="7"/>
        <v>64</v>
      </c>
      <c r="AH27" s="10"/>
      <c r="AI27" s="1">
        <v>18</v>
      </c>
      <c r="AJ27" s="1">
        <v>42</v>
      </c>
      <c r="AK27" s="1">
        <v>13</v>
      </c>
      <c r="AL27" s="1">
        <v>20</v>
      </c>
      <c r="AM27" s="1">
        <v>54</v>
      </c>
      <c r="AN27" s="1">
        <f t="shared" si="8"/>
        <v>147</v>
      </c>
      <c r="AO27" s="1">
        <f t="shared" si="9"/>
        <v>74</v>
      </c>
      <c r="AP27" s="10"/>
      <c r="AQ27" s="1">
        <v>13</v>
      </c>
      <c r="AR27" s="1">
        <v>6</v>
      </c>
      <c r="AS27" s="1">
        <v>3</v>
      </c>
      <c r="AT27" s="1">
        <v>19</v>
      </c>
      <c r="AU27" s="1">
        <v>9</v>
      </c>
      <c r="AV27" s="1">
        <v>14</v>
      </c>
      <c r="AW27" s="1">
        <v>5</v>
      </c>
      <c r="AX27" s="1">
        <v>9</v>
      </c>
      <c r="AY27" s="1">
        <f t="shared" si="17"/>
        <v>22</v>
      </c>
      <c r="AZ27" s="1">
        <f t="shared" si="18"/>
        <v>20</v>
      </c>
      <c r="BA27" s="1">
        <f t="shared" si="19"/>
        <v>8</v>
      </c>
      <c r="BB27" s="1">
        <v>14</v>
      </c>
      <c r="BC27" s="1">
        <f t="shared" si="20"/>
        <v>28</v>
      </c>
      <c r="BD27" s="1">
        <f t="shared" si="21"/>
        <v>92</v>
      </c>
      <c r="BE27" s="1">
        <f t="shared" si="22"/>
        <v>46</v>
      </c>
      <c r="BF27" s="1"/>
      <c r="BG27" s="1"/>
      <c r="BH27" s="1"/>
      <c r="BI27" s="10"/>
      <c r="BJ27" s="10"/>
      <c r="BK27" s="10"/>
      <c r="BL27" s="10"/>
      <c r="BM27" s="10"/>
      <c r="BN27" s="10"/>
      <c r="BO27" s="10" t="s">
        <v>371</v>
      </c>
      <c r="BP27" s="10" t="s">
        <v>371</v>
      </c>
      <c r="BQ27" s="50"/>
      <c r="BR27" s="50">
        <f t="shared" si="15"/>
        <v>387</v>
      </c>
      <c r="BS27" s="51">
        <f t="shared" si="16"/>
        <v>64.5</v>
      </c>
      <c r="BT27" s="52" t="str">
        <f t="shared" si="14"/>
        <v>GRADE I</v>
      </c>
      <c r="BU27" s="10"/>
    </row>
    <row r="28" spans="1:73" ht="18" customHeight="1" x14ac:dyDescent="0.25">
      <c r="A28" s="2">
        <v>23</v>
      </c>
      <c r="B28" s="5" t="s">
        <v>150</v>
      </c>
      <c r="C28" s="1">
        <v>19</v>
      </c>
      <c r="D28" s="1">
        <v>34</v>
      </c>
      <c r="E28" s="1">
        <v>18</v>
      </c>
      <c r="F28" s="1">
        <v>18</v>
      </c>
      <c r="G28" s="1">
        <v>62</v>
      </c>
      <c r="H28" s="1">
        <f t="shared" si="0"/>
        <v>151</v>
      </c>
      <c r="I28" s="1">
        <f t="shared" si="1"/>
        <v>76</v>
      </c>
      <c r="J28" s="10"/>
      <c r="K28" s="1">
        <v>22</v>
      </c>
      <c r="L28" s="1">
        <v>49</v>
      </c>
      <c r="M28" s="1">
        <v>16</v>
      </c>
      <c r="N28" s="1">
        <v>20</v>
      </c>
      <c r="O28" s="1">
        <v>72</v>
      </c>
      <c r="P28" s="1">
        <f t="shared" si="2"/>
        <v>179</v>
      </c>
      <c r="Q28" s="1">
        <f t="shared" si="3"/>
        <v>90</v>
      </c>
      <c r="R28" s="1"/>
      <c r="S28" s="59">
        <v>25</v>
      </c>
      <c r="T28" s="59">
        <v>48</v>
      </c>
      <c r="U28" s="59">
        <v>21</v>
      </c>
      <c r="V28" s="59">
        <v>20</v>
      </c>
      <c r="W28" s="59">
        <v>75</v>
      </c>
      <c r="X28" s="59">
        <f t="shared" si="4"/>
        <v>189</v>
      </c>
      <c r="Y28" s="59">
        <f t="shared" si="5"/>
        <v>95</v>
      </c>
      <c r="Z28" s="58"/>
      <c r="AA28" s="1">
        <v>25</v>
      </c>
      <c r="AB28" s="1">
        <v>30</v>
      </c>
      <c r="AC28" s="1">
        <v>20</v>
      </c>
      <c r="AD28" s="1">
        <v>20</v>
      </c>
      <c r="AE28" s="1">
        <v>61</v>
      </c>
      <c r="AF28" s="1">
        <f t="shared" si="6"/>
        <v>156</v>
      </c>
      <c r="AG28" s="1">
        <f t="shared" si="7"/>
        <v>78</v>
      </c>
      <c r="AH28" s="10"/>
      <c r="AI28" s="1">
        <v>25</v>
      </c>
      <c r="AJ28" s="1">
        <v>49</v>
      </c>
      <c r="AK28" s="1">
        <v>22</v>
      </c>
      <c r="AL28" s="1">
        <v>20</v>
      </c>
      <c r="AM28" s="1">
        <v>73</v>
      </c>
      <c r="AN28" s="1">
        <f t="shared" si="8"/>
        <v>189</v>
      </c>
      <c r="AO28" s="1">
        <f t="shared" si="9"/>
        <v>95</v>
      </c>
      <c r="AP28" s="10"/>
      <c r="AQ28" s="1">
        <v>12</v>
      </c>
      <c r="AR28" s="1">
        <v>24</v>
      </c>
      <c r="AS28" s="1">
        <v>10</v>
      </c>
      <c r="AT28" s="1">
        <v>34</v>
      </c>
      <c r="AU28" s="1">
        <v>11</v>
      </c>
      <c r="AV28" s="1">
        <v>23</v>
      </c>
      <c r="AW28" s="1">
        <v>11.5</v>
      </c>
      <c r="AX28" s="1">
        <v>29</v>
      </c>
      <c r="AY28" s="1">
        <f t="shared" si="17"/>
        <v>23</v>
      </c>
      <c r="AZ28" s="1">
        <f t="shared" si="18"/>
        <v>47</v>
      </c>
      <c r="BA28" s="1">
        <f t="shared" si="19"/>
        <v>22</v>
      </c>
      <c r="BB28" s="1">
        <v>20</v>
      </c>
      <c r="BC28" s="1">
        <f t="shared" si="20"/>
        <v>63</v>
      </c>
      <c r="BD28" s="1">
        <f t="shared" si="21"/>
        <v>175</v>
      </c>
      <c r="BE28" s="1">
        <f t="shared" si="22"/>
        <v>88</v>
      </c>
      <c r="BF28" s="1"/>
      <c r="BG28" s="1"/>
      <c r="BH28" s="1"/>
      <c r="BI28" s="10"/>
      <c r="BJ28" s="10"/>
      <c r="BK28" s="10"/>
      <c r="BL28" s="10"/>
      <c r="BM28" s="10"/>
      <c r="BN28" s="10"/>
      <c r="BO28" s="10" t="s">
        <v>371</v>
      </c>
      <c r="BP28" s="10" t="s">
        <v>371</v>
      </c>
      <c r="BQ28" s="50"/>
      <c r="BR28" s="50">
        <f t="shared" si="15"/>
        <v>522</v>
      </c>
      <c r="BS28" s="51">
        <f t="shared" si="16"/>
        <v>87</v>
      </c>
      <c r="BT28" s="52" t="str">
        <f t="shared" si="14"/>
        <v>GRADE I with Distinction</v>
      </c>
      <c r="BU28" s="10"/>
    </row>
    <row r="29" spans="1:73" ht="18" customHeight="1" x14ac:dyDescent="0.25">
      <c r="A29" s="2">
        <v>24</v>
      </c>
      <c r="B29" s="5" t="s">
        <v>151</v>
      </c>
      <c r="C29" s="1">
        <v>15</v>
      </c>
      <c r="D29" s="1">
        <v>29</v>
      </c>
      <c r="E29" s="1">
        <v>18</v>
      </c>
      <c r="F29" s="1">
        <v>16</v>
      </c>
      <c r="G29" s="1">
        <v>61</v>
      </c>
      <c r="H29" s="1">
        <f t="shared" si="0"/>
        <v>139</v>
      </c>
      <c r="I29" s="1">
        <f t="shared" si="1"/>
        <v>70</v>
      </c>
      <c r="J29" s="10"/>
      <c r="K29" s="1">
        <v>20</v>
      </c>
      <c r="L29" s="1">
        <v>47</v>
      </c>
      <c r="M29" s="1">
        <v>12</v>
      </c>
      <c r="N29" s="1">
        <v>17</v>
      </c>
      <c r="O29" s="1">
        <v>59</v>
      </c>
      <c r="P29" s="1">
        <f t="shared" si="2"/>
        <v>155</v>
      </c>
      <c r="Q29" s="1">
        <f t="shared" si="3"/>
        <v>78</v>
      </c>
      <c r="R29" s="1"/>
      <c r="S29" s="59">
        <v>23</v>
      </c>
      <c r="T29" s="59">
        <v>43</v>
      </c>
      <c r="U29" s="59">
        <v>21</v>
      </c>
      <c r="V29" s="59">
        <v>18</v>
      </c>
      <c r="W29" s="59">
        <v>75</v>
      </c>
      <c r="X29" s="59">
        <f t="shared" si="4"/>
        <v>180</v>
      </c>
      <c r="Y29" s="59">
        <f t="shared" si="5"/>
        <v>90</v>
      </c>
      <c r="Z29" s="58"/>
      <c r="AA29" s="1">
        <v>24</v>
      </c>
      <c r="AB29" s="1">
        <v>26</v>
      </c>
      <c r="AC29" s="1">
        <v>24</v>
      </c>
      <c r="AD29" s="1">
        <v>17</v>
      </c>
      <c r="AE29" s="1">
        <v>46</v>
      </c>
      <c r="AF29" s="1">
        <f t="shared" si="6"/>
        <v>137</v>
      </c>
      <c r="AG29" s="1">
        <f t="shared" si="7"/>
        <v>69</v>
      </c>
      <c r="AH29" s="10"/>
      <c r="AI29" s="1">
        <v>21</v>
      </c>
      <c r="AJ29" s="1">
        <v>48</v>
      </c>
      <c r="AK29" s="1">
        <v>17</v>
      </c>
      <c r="AL29" s="1">
        <v>20</v>
      </c>
      <c r="AM29" s="1">
        <v>66</v>
      </c>
      <c r="AN29" s="1">
        <f t="shared" si="8"/>
        <v>172</v>
      </c>
      <c r="AO29" s="1">
        <f t="shared" si="9"/>
        <v>86</v>
      </c>
      <c r="AP29" s="10"/>
      <c r="AQ29" s="1">
        <v>12</v>
      </c>
      <c r="AR29" s="1">
        <v>18.5</v>
      </c>
      <c r="AS29" s="1">
        <v>5</v>
      </c>
      <c r="AT29" s="1">
        <v>24</v>
      </c>
      <c r="AU29" s="1">
        <v>11.5</v>
      </c>
      <c r="AV29" s="1">
        <v>14</v>
      </c>
      <c r="AW29" s="1">
        <v>10.5</v>
      </c>
      <c r="AX29" s="1">
        <v>23</v>
      </c>
      <c r="AY29" s="1">
        <f t="shared" si="17"/>
        <v>24</v>
      </c>
      <c r="AZ29" s="1">
        <f t="shared" si="18"/>
        <v>33</v>
      </c>
      <c r="BA29" s="1">
        <f t="shared" si="19"/>
        <v>16</v>
      </c>
      <c r="BB29" s="1">
        <v>17</v>
      </c>
      <c r="BC29" s="1">
        <f t="shared" si="20"/>
        <v>47</v>
      </c>
      <c r="BD29" s="1">
        <f t="shared" si="21"/>
        <v>137</v>
      </c>
      <c r="BE29" s="1">
        <f t="shared" si="22"/>
        <v>69</v>
      </c>
      <c r="BF29" s="1"/>
      <c r="BG29" s="1"/>
      <c r="BH29" s="1"/>
      <c r="BI29" s="10"/>
      <c r="BJ29" s="10"/>
      <c r="BK29" s="10"/>
      <c r="BL29" s="10"/>
      <c r="BM29" s="10"/>
      <c r="BN29" s="10"/>
      <c r="BO29" s="10" t="s">
        <v>371</v>
      </c>
      <c r="BP29" s="10" t="s">
        <v>371</v>
      </c>
      <c r="BQ29" s="50"/>
      <c r="BR29" s="50">
        <f t="shared" si="15"/>
        <v>462</v>
      </c>
      <c r="BS29" s="51">
        <f t="shared" si="16"/>
        <v>77</v>
      </c>
      <c r="BT29" s="52" t="str">
        <f t="shared" si="14"/>
        <v>GRADE I with Distinction</v>
      </c>
      <c r="BU29" s="10"/>
    </row>
    <row r="30" spans="1:73" ht="18" customHeight="1" x14ac:dyDescent="0.25">
      <c r="A30" s="2">
        <v>25</v>
      </c>
      <c r="B30" s="5" t="s">
        <v>152</v>
      </c>
      <c r="C30" s="1">
        <v>21</v>
      </c>
      <c r="D30" s="1">
        <v>39</v>
      </c>
      <c r="E30" s="1">
        <v>0</v>
      </c>
      <c r="F30" s="1">
        <v>16</v>
      </c>
      <c r="G30" s="1">
        <v>64</v>
      </c>
      <c r="H30" s="1">
        <f t="shared" si="0"/>
        <v>140</v>
      </c>
      <c r="I30" s="1">
        <f t="shared" si="1"/>
        <v>70</v>
      </c>
      <c r="J30" s="10"/>
      <c r="K30" s="1">
        <v>21</v>
      </c>
      <c r="L30" s="1">
        <v>42</v>
      </c>
      <c r="M30" s="1">
        <v>0</v>
      </c>
      <c r="N30" s="1">
        <v>19</v>
      </c>
      <c r="O30" s="1">
        <v>64</v>
      </c>
      <c r="P30" s="1">
        <f t="shared" si="2"/>
        <v>146</v>
      </c>
      <c r="Q30" s="1">
        <f t="shared" si="3"/>
        <v>73</v>
      </c>
      <c r="R30" s="1"/>
      <c r="S30" s="59">
        <v>24</v>
      </c>
      <c r="T30" s="59">
        <v>42</v>
      </c>
      <c r="U30" s="59">
        <v>0</v>
      </c>
      <c r="V30" s="59">
        <v>19</v>
      </c>
      <c r="W30" s="59">
        <v>69</v>
      </c>
      <c r="X30" s="59">
        <f t="shared" si="4"/>
        <v>154</v>
      </c>
      <c r="Y30" s="59">
        <f t="shared" si="5"/>
        <v>77</v>
      </c>
      <c r="Z30" s="58"/>
      <c r="AA30" s="1">
        <v>24</v>
      </c>
      <c r="AB30" s="1">
        <v>36</v>
      </c>
      <c r="AC30" s="1">
        <v>0</v>
      </c>
      <c r="AD30" s="1">
        <v>20</v>
      </c>
      <c r="AE30" s="1">
        <v>62</v>
      </c>
      <c r="AF30" s="1">
        <f t="shared" si="6"/>
        <v>142</v>
      </c>
      <c r="AG30" s="1">
        <f t="shared" si="7"/>
        <v>71</v>
      </c>
      <c r="AH30" s="10"/>
      <c r="AI30" s="1">
        <v>24</v>
      </c>
      <c r="AJ30" s="1">
        <v>48</v>
      </c>
      <c r="AK30" s="1">
        <v>0</v>
      </c>
      <c r="AL30" s="1">
        <v>16</v>
      </c>
      <c r="AM30" s="1">
        <v>71</v>
      </c>
      <c r="AN30" s="1">
        <f t="shared" si="8"/>
        <v>159</v>
      </c>
      <c r="AO30" s="1">
        <f t="shared" si="9"/>
        <v>80</v>
      </c>
      <c r="AP30" s="10"/>
      <c r="AQ30" s="1">
        <v>13</v>
      </c>
      <c r="AR30" s="1">
        <v>25</v>
      </c>
      <c r="AS30" s="1">
        <v>0</v>
      </c>
      <c r="AT30" s="1">
        <v>33</v>
      </c>
      <c r="AU30" s="1">
        <v>12</v>
      </c>
      <c r="AV30" s="1">
        <v>23.5</v>
      </c>
      <c r="AW30" s="1">
        <v>0</v>
      </c>
      <c r="AX30" s="1">
        <v>34</v>
      </c>
      <c r="AY30" s="1">
        <f t="shared" ref="AY30:AY65" si="23">ROUND(AQ30+AU30,0)</f>
        <v>25</v>
      </c>
      <c r="AZ30" s="1">
        <f t="shared" ref="AZ30:AZ64" si="24">ROUND(AR30+AV30,0)</f>
        <v>49</v>
      </c>
      <c r="BA30" s="1">
        <v>0</v>
      </c>
      <c r="BB30" s="1">
        <v>20</v>
      </c>
      <c r="BC30" s="1">
        <f t="shared" si="20"/>
        <v>67</v>
      </c>
      <c r="BD30" s="1">
        <f t="shared" si="21"/>
        <v>161</v>
      </c>
      <c r="BE30" s="1">
        <f t="shared" si="22"/>
        <v>81</v>
      </c>
      <c r="BF30" s="1"/>
      <c r="BG30" s="1"/>
      <c r="BH30" s="1"/>
      <c r="BI30" s="10"/>
      <c r="BJ30" s="10"/>
      <c r="BK30" s="10"/>
      <c r="BL30" s="10"/>
      <c r="BM30" s="10"/>
      <c r="BN30" s="10"/>
      <c r="BO30" s="10" t="s">
        <v>371</v>
      </c>
      <c r="BP30" s="10" t="s">
        <v>371</v>
      </c>
      <c r="BQ30" s="50"/>
      <c r="BR30" s="50">
        <f t="shared" si="15"/>
        <v>452</v>
      </c>
      <c r="BS30" s="51">
        <f t="shared" si="16"/>
        <v>75.333333333333329</v>
      </c>
      <c r="BT30" s="52" t="str">
        <f t="shared" si="14"/>
        <v>GRADE I with Distinction</v>
      </c>
      <c r="BU30" s="10"/>
    </row>
    <row r="31" spans="1:73" ht="18" customHeight="1" x14ac:dyDescent="0.25">
      <c r="A31" s="2">
        <v>26</v>
      </c>
      <c r="B31" s="5" t="s">
        <v>153</v>
      </c>
      <c r="C31" s="1">
        <v>15</v>
      </c>
      <c r="D31" s="1">
        <v>34</v>
      </c>
      <c r="E31" s="1">
        <v>21</v>
      </c>
      <c r="F31" s="1">
        <v>16</v>
      </c>
      <c r="G31" s="1">
        <v>61</v>
      </c>
      <c r="H31" s="1">
        <f t="shared" si="0"/>
        <v>147</v>
      </c>
      <c r="I31" s="1">
        <f t="shared" si="1"/>
        <v>74</v>
      </c>
      <c r="J31" s="10"/>
      <c r="K31" s="1">
        <v>19</v>
      </c>
      <c r="L31" s="1">
        <v>47</v>
      </c>
      <c r="M31" s="1">
        <v>18</v>
      </c>
      <c r="N31" s="1">
        <v>20</v>
      </c>
      <c r="O31" s="1">
        <v>59</v>
      </c>
      <c r="P31" s="1">
        <f t="shared" si="2"/>
        <v>163</v>
      </c>
      <c r="Q31" s="1">
        <f t="shared" si="3"/>
        <v>82</v>
      </c>
      <c r="R31" s="1"/>
      <c r="S31" s="59">
        <v>25</v>
      </c>
      <c r="T31" s="59">
        <v>47</v>
      </c>
      <c r="U31" s="59">
        <v>22</v>
      </c>
      <c r="V31" s="59">
        <v>19</v>
      </c>
      <c r="W31" s="59">
        <v>73</v>
      </c>
      <c r="X31" s="59">
        <f t="shared" si="4"/>
        <v>186</v>
      </c>
      <c r="Y31" s="59">
        <f t="shared" si="5"/>
        <v>93</v>
      </c>
      <c r="Z31" s="58"/>
      <c r="AA31" s="1">
        <v>24</v>
      </c>
      <c r="AB31" s="1">
        <v>32</v>
      </c>
      <c r="AC31" s="1">
        <v>20</v>
      </c>
      <c r="AD31" s="1">
        <v>19</v>
      </c>
      <c r="AE31" s="1">
        <v>68</v>
      </c>
      <c r="AF31" s="1">
        <f t="shared" si="6"/>
        <v>163</v>
      </c>
      <c r="AG31" s="1">
        <f t="shared" si="7"/>
        <v>82</v>
      </c>
      <c r="AH31" s="10"/>
      <c r="AI31" s="1">
        <v>24</v>
      </c>
      <c r="AJ31" s="1">
        <v>46</v>
      </c>
      <c r="AK31" s="1">
        <v>23</v>
      </c>
      <c r="AL31" s="1">
        <v>19</v>
      </c>
      <c r="AM31" s="1">
        <v>74</v>
      </c>
      <c r="AN31" s="1">
        <f t="shared" si="8"/>
        <v>186</v>
      </c>
      <c r="AO31" s="1">
        <f t="shared" si="9"/>
        <v>93</v>
      </c>
      <c r="AP31" s="10"/>
      <c r="AQ31" s="1">
        <v>13</v>
      </c>
      <c r="AR31" s="1">
        <v>23</v>
      </c>
      <c r="AS31" s="1">
        <v>6</v>
      </c>
      <c r="AT31" s="1">
        <v>33</v>
      </c>
      <c r="AU31" s="1">
        <v>11</v>
      </c>
      <c r="AV31" s="1">
        <v>20</v>
      </c>
      <c r="AW31" s="1">
        <v>8.5</v>
      </c>
      <c r="AX31" s="1">
        <v>28</v>
      </c>
      <c r="AY31" s="1">
        <f t="shared" si="23"/>
        <v>24</v>
      </c>
      <c r="AZ31" s="1">
        <f t="shared" si="24"/>
        <v>43</v>
      </c>
      <c r="BA31" s="1">
        <f t="shared" ref="BA31:BA62" si="25">ROUND(AS31+AW31,0)</f>
        <v>15</v>
      </c>
      <c r="BB31" s="1">
        <v>18</v>
      </c>
      <c r="BC31" s="1">
        <f t="shared" si="20"/>
        <v>61</v>
      </c>
      <c r="BD31" s="1">
        <f t="shared" si="21"/>
        <v>161</v>
      </c>
      <c r="BE31" s="1">
        <f t="shared" si="22"/>
        <v>81</v>
      </c>
      <c r="BF31" s="1"/>
      <c r="BG31" s="1"/>
      <c r="BH31" s="1"/>
      <c r="BI31" s="10"/>
      <c r="BJ31" s="10"/>
      <c r="BK31" s="10"/>
      <c r="BL31" s="10"/>
      <c r="BM31" s="10"/>
      <c r="BN31" s="10"/>
      <c r="BO31" s="10" t="s">
        <v>371</v>
      </c>
      <c r="BP31" s="10" t="s">
        <v>371</v>
      </c>
      <c r="BQ31" s="50"/>
      <c r="BR31" s="50">
        <f t="shared" si="15"/>
        <v>505</v>
      </c>
      <c r="BS31" s="51">
        <f t="shared" si="16"/>
        <v>84.166666666666671</v>
      </c>
      <c r="BT31" s="52" t="str">
        <f t="shared" si="14"/>
        <v>GRADE I with Distinction</v>
      </c>
      <c r="BU31" s="10"/>
    </row>
    <row r="32" spans="1:73" ht="18" customHeight="1" x14ac:dyDescent="0.25">
      <c r="A32" s="2">
        <v>27</v>
      </c>
      <c r="B32" s="5" t="s">
        <v>154</v>
      </c>
      <c r="C32" s="1">
        <v>16</v>
      </c>
      <c r="D32" s="1">
        <v>36</v>
      </c>
      <c r="E32" s="1">
        <v>19</v>
      </c>
      <c r="F32" s="1">
        <v>14</v>
      </c>
      <c r="G32" s="1">
        <v>58</v>
      </c>
      <c r="H32" s="1">
        <f t="shared" si="0"/>
        <v>143</v>
      </c>
      <c r="I32" s="1">
        <f t="shared" si="1"/>
        <v>72</v>
      </c>
      <c r="J32" s="10"/>
      <c r="K32" s="1">
        <v>20</v>
      </c>
      <c r="L32" s="1">
        <v>43</v>
      </c>
      <c r="M32" s="1">
        <v>12</v>
      </c>
      <c r="N32" s="1">
        <v>18</v>
      </c>
      <c r="O32" s="1">
        <v>63</v>
      </c>
      <c r="P32" s="1">
        <f t="shared" si="2"/>
        <v>156</v>
      </c>
      <c r="Q32" s="1">
        <f t="shared" si="3"/>
        <v>78</v>
      </c>
      <c r="R32" s="1"/>
      <c r="S32" s="59">
        <v>25</v>
      </c>
      <c r="T32" s="59">
        <v>48</v>
      </c>
      <c r="U32" s="59">
        <v>21</v>
      </c>
      <c r="V32" s="59">
        <v>20</v>
      </c>
      <c r="W32" s="59">
        <v>72</v>
      </c>
      <c r="X32" s="59">
        <f t="shared" si="4"/>
        <v>186</v>
      </c>
      <c r="Y32" s="59">
        <f t="shared" si="5"/>
        <v>93</v>
      </c>
      <c r="Z32" s="58"/>
      <c r="AA32" s="1">
        <v>22</v>
      </c>
      <c r="AB32" s="1">
        <v>26</v>
      </c>
      <c r="AC32" s="1">
        <v>18</v>
      </c>
      <c r="AD32" s="1">
        <v>11</v>
      </c>
      <c r="AE32" s="1">
        <v>42</v>
      </c>
      <c r="AF32" s="1">
        <f t="shared" si="6"/>
        <v>119</v>
      </c>
      <c r="AG32" s="1">
        <f t="shared" si="7"/>
        <v>60</v>
      </c>
      <c r="AH32" s="10"/>
      <c r="AI32" s="1">
        <v>21</v>
      </c>
      <c r="AJ32" s="1">
        <v>48</v>
      </c>
      <c r="AK32" s="1">
        <v>19</v>
      </c>
      <c r="AL32" s="1">
        <v>19</v>
      </c>
      <c r="AM32" s="1">
        <v>57</v>
      </c>
      <c r="AN32" s="1">
        <f t="shared" si="8"/>
        <v>164</v>
      </c>
      <c r="AO32" s="1">
        <f t="shared" si="9"/>
        <v>82</v>
      </c>
      <c r="AP32" s="10"/>
      <c r="AQ32" s="1">
        <v>11</v>
      </c>
      <c r="AR32" s="1">
        <v>25</v>
      </c>
      <c r="AS32" s="1">
        <v>3</v>
      </c>
      <c r="AT32" s="1">
        <v>28</v>
      </c>
      <c r="AU32" s="1">
        <v>10</v>
      </c>
      <c r="AV32" s="1">
        <v>22.5</v>
      </c>
      <c r="AW32" s="1">
        <v>7.5</v>
      </c>
      <c r="AX32" s="1">
        <v>28</v>
      </c>
      <c r="AY32" s="1">
        <f t="shared" si="23"/>
        <v>21</v>
      </c>
      <c r="AZ32" s="1">
        <f t="shared" si="24"/>
        <v>48</v>
      </c>
      <c r="BA32" s="1">
        <f t="shared" si="25"/>
        <v>11</v>
      </c>
      <c r="BB32" s="1">
        <v>19</v>
      </c>
      <c r="BC32" s="1">
        <f t="shared" si="20"/>
        <v>56</v>
      </c>
      <c r="BD32" s="1">
        <f t="shared" si="21"/>
        <v>155</v>
      </c>
      <c r="BE32" s="1">
        <f t="shared" si="22"/>
        <v>78</v>
      </c>
      <c r="BF32" s="1"/>
      <c r="BG32" s="1"/>
      <c r="BH32" s="1"/>
      <c r="BI32" s="10"/>
      <c r="BJ32" s="10"/>
      <c r="BK32" s="10"/>
      <c r="BL32" s="10"/>
      <c r="BM32" s="10"/>
      <c r="BN32" s="10"/>
      <c r="BO32" s="10" t="s">
        <v>371</v>
      </c>
      <c r="BP32" s="10" t="s">
        <v>371</v>
      </c>
      <c r="BQ32" s="50"/>
      <c r="BR32" s="50">
        <f t="shared" si="15"/>
        <v>463</v>
      </c>
      <c r="BS32" s="51">
        <f t="shared" si="16"/>
        <v>77.166666666666671</v>
      </c>
      <c r="BT32" s="52" t="str">
        <f t="shared" si="14"/>
        <v>GRADE I with Distinction</v>
      </c>
      <c r="BU32" s="10"/>
    </row>
    <row r="33" spans="1:73" ht="18" customHeight="1" x14ac:dyDescent="0.25">
      <c r="A33" s="2">
        <v>28</v>
      </c>
      <c r="B33" s="5" t="s">
        <v>155</v>
      </c>
      <c r="C33" s="1">
        <v>19</v>
      </c>
      <c r="D33" s="1">
        <v>30</v>
      </c>
      <c r="E33" s="1">
        <v>18</v>
      </c>
      <c r="F33" s="1">
        <v>12</v>
      </c>
      <c r="G33" s="1">
        <v>59</v>
      </c>
      <c r="H33" s="1">
        <f t="shared" si="0"/>
        <v>138</v>
      </c>
      <c r="I33" s="1">
        <f t="shared" si="1"/>
        <v>69</v>
      </c>
      <c r="J33" s="10"/>
      <c r="K33" s="1">
        <v>13</v>
      </c>
      <c r="L33" s="1">
        <v>38</v>
      </c>
      <c r="M33" s="1">
        <v>11</v>
      </c>
      <c r="N33" s="1">
        <v>17</v>
      </c>
      <c r="O33" s="1">
        <v>57</v>
      </c>
      <c r="P33" s="1">
        <f t="shared" si="2"/>
        <v>136</v>
      </c>
      <c r="Q33" s="1">
        <f t="shared" si="3"/>
        <v>68</v>
      </c>
      <c r="R33" s="1"/>
      <c r="S33" s="59">
        <v>24</v>
      </c>
      <c r="T33" s="59">
        <v>41</v>
      </c>
      <c r="U33" s="59">
        <v>22</v>
      </c>
      <c r="V33" s="59">
        <v>19</v>
      </c>
      <c r="W33" s="59">
        <v>66</v>
      </c>
      <c r="X33" s="59">
        <f t="shared" si="4"/>
        <v>172</v>
      </c>
      <c r="Y33" s="59">
        <f t="shared" si="5"/>
        <v>86</v>
      </c>
      <c r="Z33" s="58"/>
      <c r="AA33" s="1">
        <v>25</v>
      </c>
      <c r="AB33" s="1">
        <v>34</v>
      </c>
      <c r="AC33" s="1">
        <v>16</v>
      </c>
      <c r="AD33" s="1">
        <v>18</v>
      </c>
      <c r="AE33" s="1">
        <v>56</v>
      </c>
      <c r="AF33" s="1">
        <f t="shared" si="6"/>
        <v>149</v>
      </c>
      <c r="AG33" s="1">
        <f t="shared" si="7"/>
        <v>75</v>
      </c>
      <c r="AH33" s="10"/>
      <c r="AI33" s="1">
        <v>22</v>
      </c>
      <c r="AJ33" s="1">
        <v>46</v>
      </c>
      <c r="AK33" s="1">
        <v>18</v>
      </c>
      <c r="AL33" s="1">
        <v>20</v>
      </c>
      <c r="AM33" s="1">
        <v>54</v>
      </c>
      <c r="AN33" s="1">
        <f t="shared" si="8"/>
        <v>160</v>
      </c>
      <c r="AO33" s="1">
        <f t="shared" si="9"/>
        <v>80</v>
      </c>
      <c r="AP33" s="10"/>
      <c r="AQ33" s="1">
        <v>12</v>
      </c>
      <c r="AR33" s="1">
        <v>23</v>
      </c>
      <c r="AS33" s="1">
        <v>7.5</v>
      </c>
      <c r="AT33" s="1">
        <v>20</v>
      </c>
      <c r="AU33" s="1">
        <v>5</v>
      </c>
      <c r="AV33" s="1">
        <v>16</v>
      </c>
      <c r="AW33" s="1">
        <v>5</v>
      </c>
      <c r="AX33" s="1">
        <v>24</v>
      </c>
      <c r="AY33" s="1">
        <f t="shared" si="23"/>
        <v>17</v>
      </c>
      <c r="AZ33" s="1">
        <f t="shared" si="24"/>
        <v>39</v>
      </c>
      <c r="BA33" s="1">
        <f t="shared" si="25"/>
        <v>13</v>
      </c>
      <c r="BB33" s="1">
        <v>15</v>
      </c>
      <c r="BC33" s="1">
        <f t="shared" si="20"/>
        <v>44</v>
      </c>
      <c r="BD33" s="1">
        <f t="shared" si="21"/>
        <v>128</v>
      </c>
      <c r="BE33" s="1">
        <f t="shared" si="22"/>
        <v>64</v>
      </c>
      <c r="BF33" s="1"/>
      <c r="BG33" s="1"/>
      <c r="BH33" s="1"/>
      <c r="BI33" s="10"/>
      <c r="BJ33" s="10"/>
      <c r="BK33" s="10"/>
      <c r="BL33" s="10"/>
      <c r="BM33" s="10"/>
      <c r="BN33" s="10"/>
      <c r="BO33" s="10" t="s">
        <v>371</v>
      </c>
      <c r="BP33" s="10" t="s">
        <v>371</v>
      </c>
      <c r="BQ33" s="50"/>
      <c r="BR33" s="50">
        <f t="shared" si="15"/>
        <v>442</v>
      </c>
      <c r="BS33" s="51">
        <f t="shared" si="16"/>
        <v>73.666666666666671</v>
      </c>
      <c r="BT33" s="52" t="str">
        <f t="shared" si="14"/>
        <v>GRADE I</v>
      </c>
      <c r="BU33" s="10"/>
    </row>
    <row r="34" spans="1:73" ht="18" customHeight="1" x14ac:dyDescent="0.25">
      <c r="A34" s="2">
        <v>29</v>
      </c>
      <c r="B34" s="5" t="s">
        <v>156</v>
      </c>
      <c r="C34" s="1">
        <v>15</v>
      </c>
      <c r="D34" s="1">
        <v>30</v>
      </c>
      <c r="E34" s="1">
        <v>18</v>
      </c>
      <c r="F34" s="1">
        <v>16</v>
      </c>
      <c r="G34" s="1">
        <v>58</v>
      </c>
      <c r="H34" s="1">
        <f t="shared" si="0"/>
        <v>137</v>
      </c>
      <c r="I34" s="1">
        <f t="shared" si="1"/>
        <v>69</v>
      </c>
      <c r="J34" s="10"/>
      <c r="K34" s="1">
        <v>14</v>
      </c>
      <c r="L34" s="1">
        <v>44</v>
      </c>
      <c r="M34" s="1">
        <v>15</v>
      </c>
      <c r="N34" s="1">
        <v>18</v>
      </c>
      <c r="O34" s="1">
        <v>63</v>
      </c>
      <c r="P34" s="1">
        <f t="shared" si="2"/>
        <v>154</v>
      </c>
      <c r="Q34" s="1">
        <f t="shared" si="3"/>
        <v>77</v>
      </c>
      <c r="R34" s="1"/>
      <c r="S34" s="59">
        <v>23</v>
      </c>
      <c r="T34" s="59">
        <v>46</v>
      </c>
      <c r="U34" s="59">
        <v>21</v>
      </c>
      <c r="V34" s="59">
        <v>20</v>
      </c>
      <c r="W34" s="59">
        <v>58</v>
      </c>
      <c r="X34" s="59">
        <f t="shared" si="4"/>
        <v>168</v>
      </c>
      <c r="Y34" s="59">
        <f t="shared" si="5"/>
        <v>84</v>
      </c>
      <c r="Z34" s="58"/>
      <c r="AA34" s="1">
        <v>22</v>
      </c>
      <c r="AB34" s="1">
        <v>29</v>
      </c>
      <c r="AC34" s="1">
        <v>10</v>
      </c>
      <c r="AD34" s="1">
        <v>16</v>
      </c>
      <c r="AE34" s="1">
        <v>47</v>
      </c>
      <c r="AF34" s="1">
        <f t="shared" si="6"/>
        <v>124</v>
      </c>
      <c r="AG34" s="1">
        <f t="shared" si="7"/>
        <v>62</v>
      </c>
      <c r="AH34" s="10"/>
      <c r="AI34" s="1">
        <v>20</v>
      </c>
      <c r="AJ34" s="1">
        <v>42</v>
      </c>
      <c r="AK34" s="1">
        <v>22</v>
      </c>
      <c r="AL34" s="1">
        <v>20</v>
      </c>
      <c r="AM34" s="1">
        <v>65</v>
      </c>
      <c r="AN34" s="1">
        <f t="shared" si="8"/>
        <v>169</v>
      </c>
      <c r="AO34" s="1">
        <f t="shared" si="9"/>
        <v>85</v>
      </c>
      <c r="AP34" s="10"/>
      <c r="AQ34" s="1">
        <v>12</v>
      </c>
      <c r="AR34" s="1">
        <v>24</v>
      </c>
      <c r="AS34" s="1">
        <v>8.5</v>
      </c>
      <c r="AT34" s="1">
        <v>28</v>
      </c>
      <c r="AU34" s="1">
        <v>6.5</v>
      </c>
      <c r="AV34" s="1">
        <v>22.5</v>
      </c>
      <c r="AW34" s="1">
        <v>6</v>
      </c>
      <c r="AX34" s="1">
        <v>32</v>
      </c>
      <c r="AY34" s="1">
        <f t="shared" si="23"/>
        <v>19</v>
      </c>
      <c r="AZ34" s="1">
        <f t="shared" si="24"/>
        <v>47</v>
      </c>
      <c r="BA34" s="1">
        <f t="shared" si="25"/>
        <v>15</v>
      </c>
      <c r="BB34" s="1">
        <v>14</v>
      </c>
      <c r="BC34" s="1">
        <f t="shared" si="20"/>
        <v>60</v>
      </c>
      <c r="BD34" s="1">
        <f t="shared" si="21"/>
        <v>155</v>
      </c>
      <c r="BE34" s="1">
        <f t="shared" si="22"/>
        <v>78</v>
      </c>
      <c r="BF34" s="1"/>
      <c r="BG34" s="1"/>
      <c r="BH34" s="1"/>
      <c r="BI34" s="10"/>
      <c r="BJ34" s="10"/>
      <c r="BK34" s="10"/>
      <c r="BL34" s="10"/>
      <c r="BM34" s="10"/>
      <c r="BN34" s="10"/>
      <c r="BO34" s="10" t="s">
        <v>371</v>
      </c>
      <c r="BP34" s="10" t="s">
        <v>371</v>
      </c>
      <c r="BQ34" s="50"/>
      <c r="BR34" s="50">
        <f t="shared" si="15"/>
        <v>455</v>
      </c>
      <c r="BS34" s="51">
        <f t="shared" si="16"/>
        <v>75.833333333333329</v>
      </c>
      <c r="BT34" s="52" t="str">
        <f t="shared" si="14"/>
        <v>GRADE I with Distinction</v>
      </c>
      <c r="BU34" s="10"/>
    </row>
    <row r="35" spans="1:73" ht="18" customHeight="1" x14ac:dyDescent="0.25">
      <c r="A35" s="2">
        <v>30</v>
      </c>
      <c r="B35" s="5" t="s">
        <v>157</v>
      </c>
      <c r="C35" s="1">
        <v>10</v>
      </c>
      <c r="D35" s="1">
        <v>18</v>
      </c>
      <c r="E35" s="1">
        <v>13</v>
      </c>
      <c r="F35" s="1">
        <v>12</v>
      </c>
      <c r="G35" s="1">
        <v>46</v>
      </c>
      <c r="H35" s="1">
        <f t="shared" si="0"/>
        <v>99</v>
      </c>
      <c r="I35" s="1">
        <f t="shared" si="1"/>
        <v>50</v>
      </c>
      <c r="J35" s="10"/>
      <c r="K35" s="1">
        <v>19</v>
      </c>
      <c r="L35" s="1">
        <v>27</v>
      </c>
      <c r="M35" s="1">
        <v>9</v>
      </c>
      <c r="N35" s="1">
        <v>19</v>
      </c>
      <c r="O35" s="1">
        <v>41</v>
      </c>
      <c r="P35" s="1">
        <f t="shared" si="2"/>
        <v>115</v>
      </c>
      <c r="Q35" s="1">
        <f t="shared" si="3"/>
        <v>58</v>
      </c>
      <c r="R35" s="1"/>
      <c r="S35" s="59">
        <v>16</v>
      </c>
      <c r="T35" s="59">
        <v>38</v>
      </c>
      <c r="U35" s="59">
        <v>13</v>
      </c>
      <c r="V35" s="59">
        <v>18</v>
      </c>
      <c r="W35" s="59">
        <v>55</v>
      </c>
      <c r="X35" s="59">
        <f t="shared" si="4"/>
        <v>140</v>
      </c>
      <c r="Y35" s="59">
        <f t="shared" si="5"/>
        <v>70</v>
      </c>
      <c r="Z35" s="58"/>
      <c r="AA35" s="1">
        <v>20</v>
      </c>
      <c r="AB35" s="1">
        <v>31</v>
      </c>
      <c r="AC35" s="1">
        <v>18</v>
      </c>
      <c r="AD35" s="1">
        <v>17</v>
      </c>
      <c r="AE35" s="1">
        <v>42</v>
      </c>
      <c r="AF35" s="1">
        <f t="shared" si="6"/>
        <v>128</v>
      </c>
      <c r="AG35" s="1">
        <f t="shared" si="7"/>
        <v>64</v>
      </c>
      <c r="AH35" s="10"/>
      <c r="AI35" s="1">
        <v>19</v>
      </c>
      <c r="AJ35" s="1">
        <v>35</v>
      </c>
      <c r="AK35" s="1">
        <v>15</v>
      </c>
      <c r="AL35" s="1">
        <v>16</v>
      </c>
      <c r="AM35" s="1">
        <v>53</v>
      </c>
      <c r="AN35" s="1">
        <f t="shared" si="8"/>
        <v>138</v>
      </c>
      <c r="AO35" s="1">
        <f t="shared" si="9"/>
        <v>69</v>
      </c>
      <c r="AP35" s="10"/>
      <c r="AQ35" s="1">
        <v>10</v>
      </c>
      <c r="AR35" s="1">
        <v>12.5</v>
      </c>
      <c r="AS35" s="1">
        <v>6</v>
      </c>
      <c r="AT35" s="1">
        <v>17</v>
      </c>
      <c r="AU35" s="1">
        <v>12</v>
      </c>
      <c r="AV35" s="1">
        <v>17.5</v>
      </c>
      <c r="AW35" s="1">
        <v>3.5</v>
      </c>
      <c r="AX35" s="1">
        <v>24</v>
      </c>
      <c r="AY35" s="1">
        <f t="shared" si="23"/>
        <v>22</v>
      </c>
      <c r="AZ35" s="1">
        <f t="shared" si="24"/>
        <v>30</v>
      </c>
      <c r="BA35" s="1">
        <f t="shared" si="25"/>
        <v>10</v>
      </c>
      <c r="BB35" s="1">
        <v>14</v>
      </c>
      <c r="BC35" s="1">
        <f t="shared" si="20"/>
        <v>41</v>
      </c>
      <c r="BD35" s="1">
        <f t="shared" si="21"/>
        <v>117</v>
      </c>
      <c r="BE35" s="1">
        <f t="shared" si="22"/>
        <v>59</v>
      </c>
      <c r="BF35" s="1"/>
      <c r="BG35" s="1"/>
      <c r="BH35" s="1"/>
      <c r="BI35" s="10"/>
      <c r="BJ35" s="10"/>
      <c r="BK35" s="10"/>
      <c r="BL35" s="10"/>
      <c r="BM35" s="10"/>
      <c r="BN35" s="10"/>
      <c r="BO35" s="10" t="s">
        <v>371</v>
      </c>
      <c r="BP35" s="10" t="s">
        <v>371</v>
      </c>
      <c r="BQ35" s="50"/>
      <c r="BR35" s="50">
        <f t="shared" si="15"/>
        <v>370</v>
      </c>
      <c r="BS35" s="51">
        <f t="shared" si="16"/>
        <v>61.666666666666664</v>
      </c>
      <c r="BT35" s="52" t="str">
        <f t="shared" si="14"/>
        <v>GRADE I</v>
      </c>
      <c r="BU35" s="10"/>
    </row>
    <row r="36" spans="1:73" ht="18" customHeight="1" x14ac:dyDescent="0.25">
      <c r="A36" s="2">
        <v>31</v>
      </c>
      <c r="B36" s="5" t="s">
        <v>158</v>
      </c>
      <c r="C36" s="1">
        <v>20</v>
      </c>
      <c r="D36" s="1">
        <v>29</v>
      </c>
      <c r="E36" s="1">
        <v>22</v>
      </c>
      <c r="F36" s="1">
        <v>14</v>
      </c>
      <c r="G36" s="1">
        <v>60</v>
      </c>
      <c r="H36" s="1">
        <f t="shared" si="0"/>
        <v>145</v>
      </c>
      <c r="I36" s="1">
        <f t="shared" si="1"/>
        <v>73</v>
      </c>
      <c r="J36" s="10"/>
      <c r="K36" s="1">
        <v>21</v>
      </c>
      <c r="L36" s="1">
        <v>44</v>
      </c>
      <c r="M36" s="1">
        <v>19</v>
      </c>
      <c r="N36" s="1">
        <v>19</v>
      </c>
      <c r="O36" s="1">
        <v>77</v>
      </c>
      <c r="P36" s="1">
        <f t="shared" si="2"/>
        <v>180</v>
      </c>
      <c r="Q36" s="1">
        <f t="shared" si="3"/>
        <v>90</v>
      </c>
      <c r="R36" s="1"/>
      <c r="S36" s="59">
        <v>24</v>
      </c>
      <c r="T36" s="59">
        <v>49</v>
      </c>
      <c r="U36" s="59">
        <v>23</v>
      </c>
      <c r="V36" s="59">
        <v>19</v>
      </c>
      <c r="W36" s="59">
        <v>74</v>
      </c>
      <c r="X36" s="59">
        <f t="shared" si="4"/>
        <v>189</v>
      </c>
      <c r="Y36" s="59">
        <f t="shared" si="5"/>
        <v>95</v>
      </c>
      <c r="Z36" s="58"/>
      <c r="AA36" s="1">
        <v>23</v>
      </c>
      <c r="AB36" s="1">
        <v>35</v>
      </c>
      <c r="AC36" s="1">
        <v>21</v>
      </c>
      <c r="AD36" s="1">
        <v>19</v>
      </c>
      <c r="AE36" s="1">
        <v>66</v>
      </c>
      <c r="AF36" s="1">
        <f t="shared" si="6"/>
        <v>164</v>
      </c>
      <c r="AG36" s="1">
        <f t="shared" si="7"/>
        <v>82</v>
      </c>
      <c r="AH36" s="10"/>
      <c r="AI36" s="1">
        <v>24</v>
      </c>
      <c r="AJ36" s="1">
        <v>48</v>
      </c>
      <c r="AK36" s="1">
        <v>25</v>
      </c>
      <c r="AL36" s="1">
        <v>19</v>
      </c>
      <c r="AM36" s="1">
        <v>76</v>
      </c>
      <c r="AN36" s="1">
        <f t="shared" si="8"/>
        <v>192</v>
      </c>
      <c r="AO36" s="1">
        <f t="shared" si="9"/>
        <v>96</v>
      </c>
      <c r="AP36" s="10"/>
      <c r="AQ36" s="1">
        <v>13</v>
      </c>
      <c r="AR36" s="1">
        <v>22</v>
      </c>
      <c r="AS36" s="1">
        <v>8</v>
      </c>
      <c r="AT36" s="1">
        <v>35</v>
      </c>
      <c r="AU36" s="1">
        <v>9</v>
      </c>
      <c r="AV36" s="1">
        <v>21.5</v>
      </c>
      <c r="AW36" s="1">
        <v>7.5</v>
      </c>
      <c r="AX36" s="1">
        <v>37</v>
      </c>
      <c r="AY36" s="1">
        <f t="shared" si="23"/>
        <v>22</v>
      </c>
      <c r="AZ36" s="1">
        <f t="shared" si="24"/>
        <v>44</v>
      </c>
      <c r="BA36" s="1">
        <f t="shared" si="25"/>
        <v>16</v>
      </c>
      <c r="BB36" s="1">
        <v>20</v>
      </c>
      <c r="BC36" s="1">
        <f t="shared" si="20"/>
        <v>72</v>
      </c>
      <c r="BD36" s="1">
        <f t="shared" si="21"/>
        <v>174</v>
      </c>
      <c r="BE36" s="1">
        <f t="shared" si="22"/>
        <v>87</v>
      </c>
      <c r="BF36" s="1"/>
      <c r="BG36" s="1"/>
      <c r="BH36" s="1"/>
      <c r="BI36" s="10"/>
      <c r="BJ36" s="10"/>
      <c r="BK36" s="10"/>
      <c r="BL36" s="10"/>
      <c r="BM36" s="10"/>
      <c r="BN36" s="10"/>
      <c r="BO36" s="10" t="s">
        <v>371</v>
      </c>
      <c r="BP36" s="10" t="s">
        <v>371</v>
      </c>
      <c r="BQ36" s="50"/>
      <c r="BR36" s="50">
        <f t="shared" si="15"/>
        <v>523</v>
      </c>
      <c r="BS36" s="51">
        <f t="shared" si="16"/>
        <v>87.166666666666671</v>
      </c>
      <c r="BT36" s="52" t="str">
        <f t="shared" si="14"/>
        <v>GRADE I with Distinction</v>
      </c>
      <c r="BU36" s="10"/>
    </row>
    <row r="37" spans="1:73" ht="18" customHeight="1" x14ac:dyDescent="0.25">
      <c r="A37" s="2">
        <v>32</v>
      </c>
      <c r="B37" s="5" t="s">
        <v>159</v>
      </c>
      <c r="C37" s="1">
        <v>14</v>
      </c>
      <c r="D37" s="1">
        <v>27</v>
      </c>
      <c r="E37" s="1">
        <v>18</v>
      </c>
      <c r="F37" s="1">
        <v>16</v>
      </c>
      <c r="G37" s="1">
        <v>56</v>
      </c>
      <c r="H37" s="1">
        <f t="shared" si="0"/>
        <v>131</v>
      </c>
      <c r="I37" s="1">
        <f t="shared" si="1"/>
        <v>66</v>
      </c>
      <c r="J37" s="10"/>
      <c r="K37" s="1">
        <v>14</v>
      </c>
      <c r="L37" s="1">
        <v>43</v>
      </c>
      <c r="M37" s="1">
        <v>9</v>
      </c>
      <c r="N37" s="1">
        <v>18</v>
      </c>
      <c r="O37" s="1">
        <v>57</v>
      </c>
      <c r="P37" s="1">
        <f t="shared" si="2"/>
        <v>141</v>
      </c>
      <c r="Q37" s="1">
        <f t="shared" si="3"/>
        <v>71</v>
      </c>
      <c r="R37" s="1"/>
      <c r="S37" s="59">
        <v>25</v>
      </c>
      <c r="T37" s="59">
        <v>48</v>
      </c>
      <c r="U37" s="59">
        <v>20</v>
      </c>
      <c r="V37" s="59">
        <v>19</v>
      </c>
      <c r="W37" s="59">
        <v>71</v>
      </c>
      <c r="X37" s="59">
        <f t="shared" si="4"/>
        <v>183</v>
      </c>
      <c r="Y37" s="59">
        <f t="shared" si="5"/>
        <v>92</v>
      </c>
      <c r="Z37" s="58"/>
      <c r="AA37" s="1">
        <v>22</v>
      </c>
      <c r="AB37" s="1">
        <v>19</v>
      </c>
      <c r="AC37" s="1">
        <v>19</v>
      </c>
      <c r="AD37" s="1">
        <v>19</v>
      </c>
      <c r="AE37" s="1">
        <v>53</v>
      </c>
      <c r="AF37" s="1">
        <f t="shared" si="6"/>
        <v>132</v>
      </c>
      <c r="AG37" s="1">
        <f t="shared" si="7"/>
        <v>66</v>
      </c>
      <c r="AH37" s="10"/>
      <c r="AI37" s="1">
        <v>25</v>
      </c>
      <c r="AJ37" s="1">
        <v>49</v>
      </c>
      <c r="AK37" s="1">
        <v>22</v>
      </c>
      <c r="AL37" s="1">
        <v>20</v>
      </c>
      <c r="AM37" s="1">
        <v>72</v>
      </c>
      <c r="AN37" s="1">
        <f t="shared" si="8"/>
        <v>188</v>
      </c>
      <c r="AO37" s="1">
        <f t="shared" si="9"/>
        <v>94</v>
      </c>
      <c r="AP37" s="10"/>
      <c r="AQ37" s="1">
        <v>12</v>
      </c>
      <c r="AR37" s="1">
        <v>16</v>
      </c>
      <c r="AS37" s="1">
        <v>5.5</v>
      </c>
      <c r="AT37" s="1">
        <v>20</v>
      </c>
      <c r="AU37" s="1">
        <v>7</v>
      </c>
      <c r="AV37" s="1">
        <v>15.5</v>
      </c>
      <c r="AW37" s="1">
        <v>6.5</v>
      </c>
      <c r="AX37" s="1">
        <v>17</v>
      </c>
      <c r="AY37" s="1">
        <f t="shared" si="23"/>
        <v>19</v>
      </c>
      <c r="AZ37" s="1">
        <f t="shared" si="24"/>
        <v>32</v>
      </c>
      <c r="BA37" s="1">
        <f t="shared" si="25"/>
        <v>12</v>
      </c>
      <c r="BB37" s="1">
        <v>15</v>
      </c>
      <c r="BC37" s="1">
        <f t="shared" si="20"/>
        <v>37</v>
      </c>
      <c r="BD37" s="1">
        <f t="shared" si="21"/>
        <v>115</v>
      </c>
      <c r="BE37" s="1">
        <f t="shared" si="22"/>
        <v>58</v>
      </c>
      <c r="BF37" s="1"/>
      <c r="BG37" s="1"/>
      <c r="BH37" s="1"/>
      <c r="BI37" s="10"/>
      <c r="BJ37" s="10"/>
      <c r="BK37" s="10"/>
      <c r="BL37" s="10"/>
      <c r="BM37" s="10"/>
      <c r="BN37" s="10"/>
      <c r="BO37" s="10" t="s">
        <v>371</v>
      </c>
      <c r="BP37" s="10" t="s">
        <v>371</v>
      </c>
      <c r="BQ37" s="50"/>
      <c r="BR37" s="50">
        <f t="shared" si="15"/>
        <v>447</v>
      </c>
      <c r="BS37" s="51">
        <f t="shared" si="16"/>
        <v>74.5</v>
      </c>
      <c r="BT37" s="52" t="str">
        <f t="shared" si="14"/>
        <v>GRADE I</v>
      </c>
      <c r="BU37" s="10"/>
    </row>
    <row r="38" spans="1:73" ht="18" customHeight="1" x14ac:dyDescent="0.25">
      <c r="A38" s="2">
        <v>33</v>
      </c>
      <c r="B38" s="5" t="s">
        <v>160</v>
      </c>
      <c r="C38" s="1">
        <v>15</v>
      </c>
      <c r="D38" s="1">
        <v>29</v>
      </c>
      <c r="E38" s="1">
        <v>18</v>
      </c>
      <c r="F38" s="1">
        <v>16</v>
      </c>
      <c r="G38" s="1">
        <v>50</v>
      </c>
      <c r="H38" s="1">
        <f t="shared" ref="H38:H69" si="26">ROUND(SUM(C38:G38),0)</f>
        <v>128</v>
      </c>
      <c r="I38" s="1">
        <f t="shared" ref="I38:I69" si="27">ROUND(H38/2,0)</f>
        <v>64</v>
      </c>
      <c r="J38" s="10"/>
      <c r="K38" s="1">
        <v>13</v>
      </c>
      <c r="L38" s="1">
        <v>35</v>
      </c>
      <c r="M38" s="1">
        <v>18</v>
      </c>
      <c r="N38" s="1">
        <v>19</v>
      </c>
      <c r="O38" s="1">
        <v>54</v>
      </c>
      <c r="P38" s="1">
        <f t="shared" ref="P38:P69" si="28">ROUND(SUM(K38:O38),0)</f>
        <v>139</v>
      </c>
      <c r="Q38" s="1">
        <f t="shared" ref="Q38:Q69" si="29">ROUND(P38/2,0)</f>
        <v>70</v>
      </c>
      <c r="R38" s="1"/>
      <c r="S38" s="59">
        <v>23</v>
      </c>
      <c r="T38" s="59">
        <v>49</v>
      </c>
      <c r="U38" s="59">
        <v>19</v>
      </c>
      <c r="V38" s="59">
        <v>19</v>
      </c>
      <c r="W38" s="59">
        <v>68</v>
      </c>
      <c r="X38" s="59">
        <f t="shared" ref="X38:X69" si="30">ROUND(SUM(S38:W38),0)</f>
        <v>178</v>
      </c>
      <c r="Y38" s="59">
        <f t="shared" ref="Y38:Y69" si="31">ROUND(X38/2,0)</f>
        <v>89</v>
      </c>
      <c r="Z38" s="58"/>
      <c r="AA38" s="1">
        <v>25</v>
      </c>
      <c r="AB38" s="1">
        <v>39</v>
      </c>
      <c r="AC38" s="1">
        <v>20</v>
      </c>
      <c r="AD38" s="1">
        <v>17</v>
      </c>
      <c r="AE38" s="1">
        <v>63</v>
      </c>
      <c r="AF38" s="1">
        <f t="shared" ref="AF38:AF69" si="32">ROUND(SUM(AA38:AE38),0)</f>
        <v>164</v>
      </c>
      <c r="AG38" s="1">
        <f t="shared" ref="AG38:AG69" si="33">ROUND(AF38/2,0)</f>
        <v>82</v>
      </c>
      <c r="AH38" s="10"/>
      <c r="AI38" s="1">
        <v>19</v>
      </c>
      <c r="AJ38" s="1">
        <v>45</v>
      </c>
      <c r="AK38" s="1">
        <v>18</v>
      </c>
      <c r="AL38" s="1">
        <v>20</v>
      </c>
      <c r="AM38" s="1">
        <v>66</v>
      </c>
      <c r="AN38" s="1">
        <f t="shared" ref="AN38:AN69" si="34">ROUND(SUM(AI38:AM38),0)</f>
        <v>168</v>
      </c>
      <c r="AO38" s="1">
        <f t="shared" ref="AO38:AO69" si="35">ROUND(AN38/2,0)</f>
        <v>84</v>
      </c>
      <c r="AP38" s="10"/>
      <c r="AQ38" s="1">
        <v>13</v>
      </c>
      <c r="AR38" s="1">
        <v>20</v>
      </c>
      <c r="AS38" s="1">
        <v>6.5</v>
      </c>
      <c r="AT38" s="1">
        <v>33</v>
      </c>
      <c r="AU38" s="1">
        <v>12</v>
      </c>
      <c r="AV38" s="1">
        <v>22</v>
      </c>
      <c r="AW38" s="1">
        <v>6</v>
      </c>
      <c r="AX38" s="1">
        <v>28</v>
      </c>
      <c r="AY38" s="1">
        <f t="shared" si="23"/>
        <v>25</v>
      </c>
      <c r="AZ38" s="1">
        <f t="shared" si="24"/>
        <v>42</v>
      </c>
      <c r="BA38" s="1">
        <f t="shared" si="25"/>
        <v>13</v>
      </c>
      <c r="BB38" s="1">
        <v>20</v>
      </c>
      <c r="BC38" s="1">
        <f t="shared" si="20"/>
        <v>61</v>
      </c>
      <c r="BD38" s="1">
        <f t="shared" si="21"/>
        <v>161</v>
      </c>
      <c r="BE38" s="1">
        <f t="shared" si="22"/>
        <v>81</v>
      </c>
      <c r="BF38" s="1"/>
      <c r="BG38" s="1"/>
      <c r="BH38" s="1"/>
      <c r="BI38" s="10"/>
      <c r="BJ38" s="10"/>
      <c r="BK38" s="10"/>
      <c r="BL38" s="10"/>
      <c r="BM38" s="10"/>
      <c r="BN38" s="10"/>
      <c r="BO38" s="10" t="s">
        <v>371</v>
      </c>
      <c r="BP38" s="10" t="s">
        <v>371</v>
      </c>
      <c r="BQ38" s="50"/>
      <c r="BR38" s="50">
        <f t="shared" si="15"/>
        <v>470</v>
      </c>
      <c r="BS38" s="51">
        <f t="shared" si="16"/>
        <v>78.333333333333329</v>
      </c>
      <c r="BT38" s="52" t="str">
        <f t="shared" si="14"/>
        <v>GRADE I with Distinction</v>
      </c>
      <c r="BU38" s="10"/>
    </row>
    <row r="39" spans="1:73" ht="18" customHeight="1" x14ac:dyDescent="0.25">
      <c r="A39" s="2">
        <v>34</v>
      </c>
      <c r="B39" s="5" t="s">
        <v>161</v>
      </c>
      <c r="C39" s="1">
        <v>13</v>
      </c>
      <c r="D39" s="1">
        <v>27</v>
      </c>
      <c r="E39" s="1">
        <v>17</v>
      </c>
      <c r="F39" s="1">
        <v>14</v>
      </c>
      <c r="G39" s="1">
        <v>55</v>
      </c>
      <c r="H39" s="1">
        <f t="shared" si="26"/>
        <v>126</v>
      </c>
      <c r="I39" s="1">
        <f t="shared" si="27"/>
        <v>63</v>
      </c>
      <c r="J39" s="10"/>
      <c r="K39" s="1">
        <v>12</v>
      </c>
      <c r="L39" s="1">
        <v>42</v>
      </c>
      <c r="M39" s="1">
        <v>16</v>
      </c>
      <c r="N39" s="1">
        <v>19</v>
      </c>
      <c r="O39" s="1">
        <v>59</v>
      </c>
      <c r="P39" s="1">
        <f t="shared" si="28"/>
        <v>148</v>
      </c>
      <c r="Q39" s="1">
        <f t="shared" si="29"/>
        <v>74</v>
      </c>
      <c r="R39" s="1"/>
      <c r="S39" s="59">
        <v>20</v>
      </c>
      <c r="T39" s="59">
        <v>45</v>
      </c>
      <c r="U39" s="59">
        <v>21</v>
      </c>
      <c r="V39" s="59">
        <v>20</v>
      </c>
      <c r="W39" s="59">
        <v>70</v>
      </c>
      <c r="X39" s="59">
        <f t="shared" si="30"/>
        <v>176</v>
      </c>
      <c r="Y39" s="59">
        <f t="shared" si="31"/>
        <v>88</v>
      </c>
      <c r="Z39" s="58"/>
      <c r="AA39" s="1">
        <v>25</v>
      </c>
      <c r="AB39" s="1">
        <v>32</v>
      </c>
      <c r="AC39" s="1">
        <v>21</v>
      </c>
      <c r="AD39" s="1">
        <v>17</v>
      </c>
      <c r="AE39" s="1">
        <v>64</v>
      </c>
      <c r="AF39" s="1">
        <f t="shared" si="32"/>
        <v>159</v>
      </c>
      <c r="AG39" s="1">
        <f t="shared" si="33"/>
        <v>80</v>
      </c>
      <c r="AH39" s="10"/>
      <c r="AI39" s="1">
        <v>17</v>
      </c>
      <c r="AJ39" s="1">
        <v>48</v>
      </c>
      <c r="AK39" s="1">
        <v>23</v>
      </c>
      <c r="AL39" s="1">
        <v>19</v>
      </c>
      <c r="AM39" s="1">
        <v>71</v>
      </c>
      <c r="AN39" s="1">
        <f t="shared" si="34"/>
        <v>178</v>
      </c>
      <c r="AO39" s="1">
        <f t="shared" si="35"/>
        <v>89</v>
      </c>
      <c r="AP39" s="10"/>
      <c r="AQ39" s="1">
        <v>13</v>
      </c>
      <c r="AR39" s="1">
        <v>23</v>
      </c>
      <c r="AS39" s="1">
        <v>8.5</v>
      </c>
      <c r="AT39" s="1">
        <v>29</v>
      </c>
      <c r="AU39" s="1">
        <v>10</v>
      </c>
      <c r="AV39" s="1">
        <v>19.5</v>
      </c>
      <c r="AW39" s="1">
        <v>6.5</v>
      </c>
      <c r="AX39" s="1">
        <v>32</v>
      </c>
      <c r="AY39" s="1">
        <f t="shared" si="23"/>
        <v>23</v>
      </c>
      <c r="AZ39" s="1">
        <f t="shared" si="24"/>
        <v>43</v>
      </c>
      <c r="BA39" s="1">
        <f t="shared" si="25"/>
        <v>15</v>
      </c>
      <c r="BB39" s="1">
        <v>20</v>
      </c>
      <c r="BC39" s="1">
        <f t="shared" si="20"/>
        <v>61</v>
      </c>
      <c r="BD39" s="1">
        <f t="shared" si="21"/>
        <v>162</v>
      </c>
      <c r="BE39" s="1">
        <f t="shared" si="22"/>
        <v>81</v>
      </c>
      <c r="BF39" s="1"/>
      <c r="BG39" s="1"/>
      <c r="BH39" s="1"/>
      <c r="BI39" s="10"/>
      <c r="BJ39" s="10"/>
      <c r="BK39" s="10"/>
      <c r="BL39" s="10"/>
      <c r="BM39" s="10"/>
      <c r="BN39" s="10"/>
      <c r="BO39" s="10" t="s">
        <v>371</v>
      </c>
      <c r="BP39" s="10" t="s">
        <v>371</v>
      </c>
      <c r="BQ39" s="50"/>
      <c r="BR39" s="50">
        <f t="shared" si="15"/>
        <v>475</v>
      </c>
      <c r="BS39" s="51">
        <f t="shared" si="16"/>
        <v>79.166666666666671</v>
      </c>
      <c r="BT39" s="52" t="str">
        <f t="shared" si="14"/>
        <v>GRADE I with Distinction</v>
      </c>
      <c r="BU39" s="10"/>
    </row>
    <row r="40" spans="1:73" ht="18" customHeight="1" x14ac:dyDescent="0.25">
      <c r="A40" s="2">
        <v>35</v>
      </c>
      <c r="B40" s="5" t="s">
        <v>162</v>
      </c>
      <c r="C40" s="1">
        <v>15</v>
      </c>
      <c r="D40" s="1">
        <v>33</v>
      </c>
      <c r="E40" s="1">
        <v>18</v>
      </c>
      <c r="F40" s="1">
        <v>18</v>
      </c>
      <c r="G40" s="1">
        <v>53</v>
      </c>
      <c r="H40" s="1">
        <f t="shared" si="26"/>
        <v>137</v>
      </c>
      <c r="I40" s="1">
        <f t="shared" si="27"/>
        <v>69</v>
      </c>
      <c r="J40" s="10"/>
      <c r="K40" s="1">
        <v>16</v>
      </c>
      <c r="L40" s="1">
        <v>45</v>
      </c>
      <c r="M40" s="1">
        <v>14</v>
      </c>
      <c r="N40" s="1">
        <v>18</v>
      </c>
      <c r="O40" s="1">
        <v>58</v>
      </c>
      <c r="P40" s="1">
        <f t="shared" si="28"/>
        <v>151</v>
      </c>
      <c r="Q40" s="1">
        <f t="shared" si="29"/>
        <v>76</v>
      </c>
      <c r="R40" s="1"/>
      <c r="S40" s="59">
        <v>25</v>
      </c>
      <c r="T40" s="59">
        <v>45</v>
      </c>
      <c r="U40" s="59">
        <v>21</v>
      </c>
      <c r="V40" s="59">
        <v>20</v>
      </c>
      <c r="W40" s="59">
        <v>74</v>
      </c>
      <c r="X40" s="59">
        <f t="shared" si="30"/>
        <v>185</v>
      </c>
      <c r="Y40" s="59">
        <f t="shared" si="31"/>
        <v>93</v>
      </c>
      <c r="Z40" s="58"/>
      <c r="AA40" s="1">
        <v>24</v>
      </c>
      <c r="AB40" s="1">
        <v>32</v>
      </c>
      <c r="AC40" s="1">
        <v>11</v>
      </c>
      <c r="AD40" s="1">
        <v>18</v>
      </c>
      <c r="AE40" s="1">
        <v>54</v>
      </c>
      <c r="AF40" s="1">
        <f t="shared" si="32"/>
        <v>139</v>
      </c>
      <c r="AG40" s="1">
        <f t="shared" si="33"/>
        <v>70</v>
      </c>
      <c r="AH40" s="10"/>
      <c r="AI40" s="1">
        <v>22</v>
      </c>
      <c r="AJ40" s="1">
        <v>48</v>
      </c>
      <c r="AK40" s="1">
        <v>17</v>
      </c>
      <c r="AL40" s="1">
        <v>20</v>
      </c>
      <c r="AM40" s="1">
        <v>69</v>
      </c>
      <c r="AN40" s="1">
        <f t="shared" si="34"/>
        <v>176</v>
      </c>
      <c r="AO40" s="1">
        <f t="shared" si="35"/>
        <v>88</v>
      </c>
      <c r="AP40" s="10"/>
      <c r="AQ40" s="1">
        <v>13</v>
      </c>
      <c r="AR40" s="1">
        <v>23</v>
      </c>
      <c r="AS40" s="1">
        <v>6</v>
      </c>
      <c r="AT40" s="1">
        <v>34</v>
      </c>
      <c r="AU40" s="1">
        <v>10.5</v>
      </c>
      <c r="AV40" s="1">
        <v>20.5</v>
      </c>
      <c r="AW40" s="1">
        <v>8</v>
      </c>
      <c r="AX40" s="1">
        <v>35</v>
      </c>
      <c r="AY40" s="1">
        <f t="shared" si="23"/>
        <v>24</v>
      </c>
      <c r="AZ40" s="1">
        <f t="shared" si="24"/>
        <v>44</v>
      </c>
      <c r="BA40" s="1">
        <f t="shared" si="25"/>
        <v>14</v>
      </c>
      <c r="BB40" s="1">
        <v>20</v>
      </c>
      <c r="BC40" s="1">
        <f t="shared" si="20"/>
        <v>69</v>
      </c>
      <c r="BD40" s="1">
        <f t="shared" si="21"/>
        <v>171</v>
      </c>
      <c r="BE40" s="1">
        <f t="shared" si="22"/>
        <v>86</v>
      </c>
      <c r="BF40" s="1"/>
      <c r="BG40" s="1"/>
      <c r="BH40" s="1"/>
      <c r="BI40" s="10"/>
      <c r="BJ40" s="10"/>
      <c r="BK40" s="10"/>
      <c r="BL40" s="10"/>
      <c r="BM40" s="10"/>
      <c r="BN40" s="10"/>
      <c r="BO40" s="10" t="s">
        <v>371</v>
      </c>
      <c r="BP40" s="10" t="s">
        <v>371</v>
      </c>
      <c r="BQ40" s="50"/>
      <c r="BR40" s="50">
        <f t="shared" si="15"/>
        <v>482</v>
      </c>
      <c r="BS40" s="51">
        <f t="shared" si="16"/>
        <v>80.333333333333329</v>
      </c>
      <c r="BT40" s="52" t="str">
        <f t="shared" si="14"/>
        <v>GRADE I with Distinction</v>
      </c>
      <c r="BU40" s="10"/>
    </row>
    <row r="41" spans="1:73" ht="18" customHeight="1" x14ac:dyDescent="0.25">
      <c r="A41" s="2">
        <v>36</v>
      </c>
      <c r="B41" s="5" t="s">
        <v>163</v>
      </c>
      <c r="C41" s="1">
        <v>19</v>
      </c>
      <c r="D41" s="1">
        <v>28</v>
      </c>
      <c r="E41" s="1">
        <v>17</v>
      </c>
      <c r="F41" s="1">
        <v>16</v>
      </c>
      <c r="G41" s="1">
        <v>54</v>
      </c>
      <c r="H41" s="1">
        <f t="shared" si="26"/>
        <v>134</v>
      </c>
      <c r="I41" s="1">
        <f t="shared" si="27"/>
        <v>67</v>
      </c>
      <c r="J41" s="10"/>
      <c r="K41" s="1">
        <v>23</v>
      </c>
      <c r="L41" s="1">
        <v>43</v>
      </c>
      <c r="M41" s="1">
        <v>16</v>
      </c>
      <c r="N41" s="1">
        <v>19</v>
      </c>
      <c r="O41" s="1">
        <v>74</v>
      </c>
      <c r="P41" s="1">
        <f t="shared" si="28"/>
        <v>175</v>
      </c>
      <c r="Q41" s="1">
        <f t="shared" si="29"/>
        <v>88</v>
      </c>
      <c r="R41" s="1"/>
      <c r="S41" s="59">
        <v>25</v>
      </c>
      <c r="T41" s="59">
        <v>44</v>
      </c>
      <c r="U41" s="59">
        <v>21</v>
      </c>
      <c r="V41" s="59">
        <v>20</v>
      </c>
      <c r="W41" s="59">
        <v>70</v>
      </c>
      <c r="X41" s="59">
        <f t="shared" si="30"/>
        <v>180</v>
      </c>
      <c r="Y41" s="59">
        <f t="shared" si="31"/>
        <v>90</v>
      </c>
      <c r="Z41" s="58"/>
      <c r="AA41" s="1">
        <v>22</v>
      </c>
      <c r="AB41" s="1">
        <v>42</v>
      </c>
      <c r="AC41" s="1">
        <v>22</v>
      </c>
      <c r="AD41" s="1">
        <v>17</v>
      </c>
      <c r="AE41" s="1">
        <v>50</v>
      </c>
      <c r="AF41" s="1">
        <f t="shared" si="32"/>
        <v>153</v>
      </c>
      <c r="AG41" s="1">
        <f t="shared" si="33"/>
        <v>77</v>
      </c>
      <c r="AH41" s="10"/>
      <c r="AI41" s="1">
        <v>25</v>
      </c>
      <c r="AJ41" s="1">
        <v>47</v>
      </c>
      <c r="AK41" s="1">
        <v>21</v>
      </c>
      <c r="AL41" s="1">
        <v>20</v>
      </c>
      <c r="AM41" s="1">
        <v>70</v>
      </c>
      <c r="AN41" s="1">
        <f t="shared" si="34"/>
        <v>183</v>
      </c>
      <c r="AO41" s="1">
        <f t="shared" si="35"/>
        <v>92</v>
      </c>
      <c r="AP41" s="10"/>
      <c r="AQ41" s="1">
        <v>13</v>
      </c>
      <c r="AR41" s="1">
        <v>20.5</v>
      </c>
      <c r="AS41" s="1">
        <v>9</v>
      </c>
      <c r="AT41" s="1">
        <v>32</v>
      </c>
      <c r="AU41" s="1">
        <v>11</v>
      </c>
      <c r="AV41" s="1">
        <v>23</v>
      </c>
      <c r="AW41" s="1">
        <v>11</v>
      </c>
      <c r="AX41" s="1">
        <v>33</v>
      </c>
      <c r="AY41" s="1">
        <f t="shared" si="23"/>
        <v>24</v>
      </c>
      <c r="AZ41" s="1">
        <f t="shared" si="24"/>
        <v>44</v>
      </c>
      <c r="BA41" s="1">
        <f t="shared" si="25"/>
        <v>20</v>
      </c>
      <c r="BB41" s="1">
        <v>20</v>
      </c>
      <c r="BC41" s="1">
        <f t="shared" si="20"/>
        <v>65</v>
      </c>
      <c r="BD41" s="1">
        <f t="shared" si="21"/>
        <v>173</v>
      </c>
      <c r="BE41" s="1">
        <f t="shared" si="22"/>
        <v>87</v>
      </c>
      <c r="BF41" s="1"/>
      <c r="BG41" s="1"/>
      <c r="BH41" s="1"/>
      <c r="BI41" s="10"/>
      <c r="BJ41" s="10"/>
      <c r="BK41" s="10"/>
      <c r="BL41" s="10"/>
      <c r="BM41" s="10"/>
      <c r="BN41" s="10"/>
      <c r="BO41" s="10" t="s">
        <v>372</v>
      </c>
      <c r="BP41" s="10" t="s">
        <v>371</v>
      </c>
      <c r="BQ41" s="50"/>
      <c r="BR41" s="50">
        <f t="shared" si="15"/>
        <v>501</v>
      </c>
      <c r="BS41" s="51">
        <f t="shared" si="16"/>
        <v>83.5</v>
      </c>
      <c r="BT41" s="52" t="str">
        <f t="shared" si="14"/>
        <v>GRADE I with Distinction</v>
      </c>
      <c r="BU41" s="10"/>
    </row>
    <row r="42" spans="1:73" ht="18" customHeight="1" x14ac:dyDescent="0.25">
      <c r="A42" s="2">
        <v>37</v>
      </c>
      <c r="B42" s="5" t="s">
        <v>164</v>
      </c>
      <c r="C42" s="1">
        <v>7</v>
      </c>
      <c r="D42" s="1">
        <v>25</v>
      </c>
      <c r="E42" s="1">
        <v>13</v>
      </c>
      <c r="F42" s="1">
        <v>14</v>
      </c>
      <c r="G42" s="1">
        <v>46</v>
      </c>
      <c r="H42" s="1">
        <f t="shared" si="26"/>
        <v>105</v>
      </c>
      <c r="I42" s="1">
        <f t="shared" si="27"/>
        <v>53</v>
      </c>
      <c r="J42" s="10"/>
      <c r="K42" s="1">
        <v>21</v>
      </c>
      <c r="L42" s="1">
        <v>37</v>
      </c>
      <c r="M42" s="1">
        <v>12</v>
      </c>
      <c r="N42" s="1">
        <v>17</v>
      </c>
      <c r="O42" s="1">
        <v>65</v>
      </c>
      <c r="P42" s="1">
        <f t="shared" si="28"/>
        <v>152</v>
      </c>
      <c r="Q42" s="1">
        <f t="shared" si="29"/>
        <v>76</v>
      </c>
      <c r="R42" s="1"/>
      <c r="S42" s="59">
        <v>20</v>
      </c>
      <c r="T42" s="59">
        <v>45</v>
      </c>
      <c r="U42" s="59">
        <v>16</v>
      </c>
      <c r="V42" s="59">
        <v>18</v>
      </c>
      <c r="W42" s="59">
        <v>60</v>
      </c>
      <c r="X42" s="59">
        <f t="shared" si="30"/>
        <v>159</v>
      </c>
      <c r="Y42" s="59">
        <f t="shared" si="31"/>
        <v>80</v>
      </c>
      <c r="Z42" s="58"/>
      <c r="AA42" s="1">
        <v>18</v>
      </c>
      <c r="AB42" s="1">
        <v>32</v>
      </c>
      <c r="AC42" s="1">
        <v>23</v>
      </c>
      <c r="AD42" s="1">
        <v>19</v>
      </c>
      <c r="AE42" s="1">
        <v>41</v>
      </c>
      <c r="AF42" s="1">
        <f t="shared" si="32"/>
        <v>133</v>
      </c>
      <c r="AG42" s="1">
        <f t="shared" si="33"/>
        <v>67</v>
      </c>
      <c r="AH42" s="10"/>
      <c r="AI42" s="1">
        <v>20</v>
      </c>
      <c r="AJ42" s="1">
        <v>44</v>
      </c>
      <c r="AK42" s="1">
        <v>18</v>
      </c>
      <c r="AL42" s="1">
        <v>20</v>
      </c>
      <c r="AM42" s="1">
        <v>56</v>
      </c>
      <c r="AN42" s="1">
        <f t="shared" si="34"/>
        <v>158</v>
      </c>
      <c r="AO42" s="1">
        <f t="shared" si="35"/>
        <v>79</v>
      </c>
      <c r="AP42" s="10"/>
      <c r="AQ42" s="1">
        <v>9</v>
      </c>
      <c r="AR42" s="1">
        <v>10.5</v>
      </c>
      <c r="AS42" s="1">
        <v>2</v>
      </c>
      <c r="AT42" s="1">
        <v>16</v>
      </c>
      <c r="AU42" s="1">
        <v>7</v>
      </c>
      <c r="AV42" s="1">
        <v>9.5</v>
      </c>
      <c r="AW42" s="1">
        <v>4.5</v>
      </c>
      <c r="AX42" s="1">
        <v>17</v>
      </c>
      <c r="AY42" s="1">
        <f t="shared" si="23"/>
        <v>16</v>
      </c>
      <c r="AZ42" s="1">
        <f t="shared" si="24"/>
        <v>20</v>
      </c>
      <c r="BA42" s="1">
        <f t="shared" si="25"/>
        <v>7</v>
      </c>
      <c r="BB42" s="1">
        <v>19</v>
      </c>
      <c r="BC42" s="1">
        <f t="shared" si="20"/>
        <v>33</v>
      </c>
      <c r="BD42" s="1">
        <f t="shared" si="21"/>
        <v>95</v>
      </c>
      <c r="BE42" s="1">
        <f t="shared" si="22"/>
        <v>48</v>
      </c>
      <c r="BF42" s="1"/>
      <c r="BG42" s="1"/>
      <c r="BH42" s="1"/>
      <c r="BI42" s="10"/>
      <c r="BJ42" s="10"/>
      <c r="BK42" s="10"/>
      <c r="BL42" s="10"/>
      <c r="BM42" s="10"/>
      <c r="BN42" s="10"/>
      <c r="BO42" s="10" t="s">
        <v>371</v>
      </c>
      <c r="BP42" s="10" t="s">
        <v>371</v>
      </c>
      <c r="BQ42" s="50"/>
      <c r="BR42" s="50">
        <f t="shared" si="15"/>
        <v>403</v>
      </c>
      <c r="BS42" s="51">
        <f t="shared" si="16"/>
        <v>67.166666666666671</v>
      </c>
      <c r="BT42" s="52" t="str">
        <f t="shared" si="14"/>
        <v>GRADE I</v>
      </c>
      <c r="BU42" s="10"/>
    </row>
    <row r="43" spans="1:73" ht="18" customHeight="1" x14ac:dyDescent="0.25">
      <c r="A43" s="2">
        <v>38</v>
      </c>
      <c r="B43" s="5" t="s">
        <v>165</v>
      </c>
      <c r="C43" s="1">
        <v>12</v>
      </c>
      <c r="D43" s="1">
        <v>32</v>
      </c>
      <c r="E43" s="1">
        <v>17</v>
      </c>
      <c r="F43" s="1">
        <v>17</v>
      </c>
      <c r="G43" s="1">
        <v>57</v>
      </c>
      <c r="H43" s="1">
        <f t="shared" si="26"/>
        <v>135</v>
      </c>
      <c r="I43" s="1">
        <f t="shared" si="27"/>
        <v>68</v>
      </c>
      <c r="J43" s="10"/>
      <c r="K43" s="1">
        <v>14</v>
      </c>
      <c r="L43" s="1">
        <v>41</v>
      </c>
      <c r="M43" s="1">
        <v>10</v>
      </c>
      <c r="N43" s="1">
        <v>20</v>
      </c>
      <c r="O43" s="1">
        <v>59</v>
      </c>
      <c r="P43" s="1">
        <f t="shared" si="28"/>
        <v>144</v>
      </c>
      <c r="Q43" s="1">
        <f t="shared" si="29"/>
        <v>72</v>
      </c>
      <c r="R43" s="1"/>
      <c r="S43" s="59">
        <v>25</v>
      </c>
      <c r="T43" s="59">
        <v>42</v>
      </c>
      <c r="U43" s="59">
        <v>20</v>
      </c>
      <c r="V43" s="59">
        <v>16</v>
      </c>
      <c r="W43" s="59">
        <v>70</v>
      </c>
      <c r="X43" s="59">
        <f t="shared" si="30"/>
        <v>173</v>
      </c>
      <c r="Y43" s="59">
        <f t="shared" si="31"/>
        <v>87</v>
      </c>
      <c r="Z43" s="58"/>
      <c r="AA43" s="1">
        <v>22</v>
      </c>
      <c r="AB43" s="1">
        <v>30</v>
      </c>
      <c r="AC43" s="1">
        <v>12</v>
      </c>
      <c r="AD43" s="1">
        <v>19</v>
      </c>
      <c r="AE43" s="1">
        <v>27</v>
      </c>
      <c r="AF43" s="1">
        <f t="shared" si="32"/>
        <v>110</v>
      </c>
      <c r="AG43" s="1">
        <f t="shared" si="33"/>
        <v>55</v>
      </c>
      <c r="AH43" s="10"/>
      <c r="AI43" s="1">
        <v>23</v>
      </c>
      <c r="AJ43" s="1">
        <v>41</v>
      </c>
      <c r="AK43" s="1">
        <v>15</v>
      </c>
      <c r="AL43" s="1">
        <v>19</v>
      </c>
      <c r="AM43" s="1">
        <v>51</v>
      </c>
      <c r="AN43" s="1">
        <f t="shared" si="34"/>
        <v>149</v>
      </c>
      <c r="AO43" s="1">
        <f t="shared" si="35"/>
        <v>75</v>
      </c>
      <c r="AP43" s="10"/>
      <c r="AQ43" s="1">
        <v>11</v>
      </c>
      <c r="AR43" s="1">
        <v>12.5</v>
      </c>
      <c r="AS43" s="1">
        <v>6</v>
      </c>
      <c r="AT43" s="1">
        <v>20</v>
      </c>
      <c r="AU43" s="1">
        <v>8</v>
      </c>
      <c r="AV43" s="1">
        <v>15</v>
      </c>
      <c r="AW43" s="1">
        <v>4.5</v>
      </c>
      <c r="AX43" s="1">
        <v>14</v>
      </c>
      <c r="AY43" s="1">
        <f t="shared" si="23"/>
        <v>19</v>
      </c>
      <c r="AZ43" s="1">
        <f t="shared" si="24"/>
        <v>28</v>
      </c>
      <c r="BA43" s="1">
        <f t="shared" si="25"/>
        <v>11</v>
      </c>
      <c r="BB43" s="1">
        <v>17</v>
      </c>
      <c r="BC43" s="1">
        <f t="shared" si="20"/>
        <v>34</v>
      </c>
      <c r="BD43" s="1">
        <f t="shared" si="21"/>
        <v>109</v>
      </c>
      <c r="BE43" s="1">
        <f t="shared" si="22"/>
        <v>55</v>
      </c>
      <c r="BF43" s="1"/>
      <c r="BG43" s="1"/>
      <c r="BH43" s="1"/>
      <c r="BI43" s="10"/>
      <c r="BJ43" s="10"/>
      <c r="BK43" s="10"/>
      <c r="BL43" s="10"/>
      <c r="BM43" s="10"/>
      <c r="BN43" s="10"/>
      <c r="BO43" s="10" t="s">
        <v>371</v>
      </c>
      <c r="BP43" s="10" t="s">
        <v>371</v>
      </c>
      <c r="BQ43" s="50"/>
      <c r="BR43" s="50">
        <f t="shared" si="15"/>
        <v>412</v>
      </c>
      <c r="BS43" s="51">
        <f t="shared" si="16"/>
        <v>68.666666666666671</v>
      </c>
      <c r="BT43" s="52" t="str">
        <f t="shared" si="14"/>
        <v>GRADE I</v>
      </c>
      <c r="BU43" s="10"/>
    </row>
    <row r="44" spans="1:73" ht="18" customHeight="1" x14ac:dyDescent="0.25">
      <c r="A44" s="2">
        <v>39</v>
      </c>
      <c r="B44" s="5" t="s">
        <v>166</v>
      </c>
      <c r="C44" s="1">
        <v>15</v>
      </c>
      <c r="D44" s="1">
        <v>23</v>
      </c>
      <c r="E44" s="1">
        <v>17</v>
      </c>
      <c r="F44" s="1">
        <v>13</v>
      </c>
      <c r="G44" s="1">
        <v>56</v>
      </c>
      <c r="H44" s="1">
        <f t="shared" si="26"/>
        <v>124</v>
      </c>
      <c r="I44" s="1">
        <f t="shared" si="27"/>
        <v>62</v>
      </c>
      <c r="J44" s="10"/>
      <c r="K44" s="1">
        <v>15</v>
      </c>
      <c r="L44" s="1">
        <v>44</v>
      </c>
      <c r="M44" s="1">
        <v>14</v>
      </c>
      <c r="N44" s="1">
        <v>20</v>
      </c>
      <c r="O44" s="1">
        <v>49</v>
      </c>
      <c r="P44" s="1">
        <f t="shared" si="28"/>
        <v>142</v>
      </c>
      <c r="Q44" s="1">
        <f t="shared" si="29"/>
        <v>71</v>
      </c>
      <c r="R44" s="1"/>
      <c r="S44" s="59">
        <v>25</v>
      </c>
      <c r="T44" s="59">
        <v>42</v>
      </c>
      <c r="U44" s="59">
        <v>21</v>
      </c>
      <c r="V44" s="59">
        <v>17</v>
      </c>
      <c r="W44" s="59">
        <v>70</v>
      </c>
      <c r="X44" s="59">
        <f t="shared" si="30"/>
        <v>175</v>
      </c>
      <c r="Y44" s="59">
        <f t="shared" si="31"/>
        <v>88</v>
      </c>
      <c r="Z44" s="58"/>
      <c r="AA44" s="1">
        <v>23</v>
      </c>
      <c r="AB44" s="1">
        <v>25</v>
      </c>
      <c r="AC44" s="1">
        <v>15</v>
      </c>
      <c r="AD44" s="1">
        <v>18</v>
      </c>
      <c r="AE44" s="1">
        <v>45</v>
      </c>
      <c r="AF44" s="1">
        <f t="shared" si="32"/>
        <v>126</v>
      </c>
      <c r="AG44" s="1">
        <f t="shared" si="33"/>
        <v>63</v>
      </c>
      <c r="AH44" s="10"/>
      <c r="AI44" s="1">
        <v>15</v>
      </c>
      <c r="AJ44" s="1">
        <v>44</v>
      </c>
      <c r="AK44" s="1">
        <v>17</v>
      </c>
      <c r="AL44" s="1">
        <v>19</v>
      </c>
      <c r="AM44" s="1">
        <v>48</v>
      </c>
      <c r="AN44" s="1">
        <f t="shared" si="34"/>
        <v>143</v>
      </c>
      <c r="AO44" s="1">
        <f t="shared" si="35"/>
        <v>72</v>
      </c>
      <c r="AP44" s="10"/>
      <c r="AQ44" s="1">
        <v>9</v>
      </c>
      <c r="AR44" s="1">
        <v>6</v>
      </c>
      <c r="AS44" s="1">
        <v>6</v>
      </c>
      <c r="AT44" s="1">
        <v>17</v>
      </c>
      <c r="AU44" s="1">
        <v>4</v>
      </c>
      <c r="AV44" s="1">
        <v>11.5</v>
      </c>
      <c r="AW44" s="1">
        <v>1.5</v>
      </c>
      <c r="AX44" s="1">
        <v>11</v>
      </c>
      <c r="AY44" s="1">
        <f t="shared" si="23"/>
        <v>13</v>
      </c>
      <c r="AZ44" s="1">
        <f t="shared" si="24"/>
        <v>18</v>
      </c>
      <c r="BA44" s="1">
        <f t="shared" si="25"/>
        <v>8</v>
      </c>
      <c r="BB44" s="1">
        <v>15</v>
      </c>
      <c r="BC44" s="1">
        <f t="shared" si="20"/>
        <v>28</v>
      </c>
      <c r="BD44" s="1">
        <f t="shared" si="21"/>
        <v>82</v>
      </c>
      <c r="BE44" s="1">
        <f t="shared" si="22"/>
        <v>41</v>
      </c>
      <c r="BF44" s="1"/>
      <c r="BG44" s="1"/>
      <c r="BH44" s="1"/>
      <c r="BI44" s="10"/>
      <c r="BJ44" s="10"/>
      <c r="BK44" s="10"/>
      <c r="BL44" s="10"/>
      <c r="BM44" s="10"/>
      <c r="BN44" s="10"/>
      <c r="BO44" s="10" t="s">
        <v>372</v>
      </c>
      <c r="BP44" s="10" t="s">
        <v>371</v>
      </c>
      <c r="BQ44" s="50"/>
      <c r="BR44" s="50">
        <f t="shared" si="15"/>
        <v>397</v>
      </c>
      <c r="BS44" s="51">
        <f t="shared" si="16"/>
        <v>66.166666666666671</v>
      </c>
      <c r="BT44" s="52" t="str">
        <f t="shared" si="14"/>
        <v>GRADE I</v>
      </c>
      <c r="BU44" s="10"/>
    </row>
    <row r="45" spans="1:73" ht="18" customHeight="1" x14ac:dyDescent="0.25">
      <c r="A45" s="2">
        <v>40</v>
      </c>
      <c r="B45" s="5" t="s">
        <v>167</v>
      </c>
      <c r="C45" s="1">
        <v>17</v>
      </c>
      <c r="D45" s="1">
        <v>30</v>
      </c>
      <c r="E45" s="1">
        <v>17</v>
      </c>
      <c r="F45" s="1">
        <v>13</v>
      </c>
      <c r="G45" s="1">
        <v>50</v>
      </c>
      <c r="H45" s="1">
        <f t="shared" si="26"/>
        <v>127</v>
      </c>
      <c r="I45" s="1">
        <f t="shared" si="27"/>
        <v>64</v>
      </c>
      <c r="J45" s="10"/>
      <c r="K45" s="1">
        <v>16</v>
      </c>
      <c r="L45" s="1">
        <v>36</v>
      </c>
      <c r="M45" s="1">
        <v>19</v>
      </c>
      <c r="N45" s="1">
        <v>20</v>
      </c>
      <c r="O45" s="1">
        <v>63</v>
      </c>
      <c r="P45" s="1">
        <f t="shared" si="28"/>
        <v>154</v>
      </c>
      <c r="Q45" s="1">
        <f t="shared" si="29"/>
        <v>77</v>
      </c>
      <c r="R45" s="1"/>
      <c r="S45" s="59">
        <v>23</v>
      </c>
      <c r="T45" s="59">
        <v>42</v>
      </c>
      <c r="U45" s="59">
        <v>20</v>
      </c>
      <c r="V45" s="59">
        <v>20</v>
      </c>
      <c r="W45" s="59">
        <v>72</v>
      </c>
      <c r="X45" s="59">
        <f t="shared" si="30"/>
        <v>177</v>
      </c>
      <c r="Y45" s="59">
        <f t="shared" si="31"/>
        <v>89</v>
      </c>
      <c r="Z45" s="58"/>
      <c r="AA45" s="1">
        <v>24</v>
      </c>
      <c r="AB45" s="1">
        <v>37</v>
      </c>
      <c r="AC45" s="1">
        <v>22</v>
      </c>
      <c r="AD45" s="1">
        <v>19</v>
      </c>
      <c r="AE45" s="1">
        <v>71</v>
      </c>
      <c r="AF45" s="1">
        <f t="shared" si="32"/>
        <v>173</v>
      </c>
      <c r="AG45" s="1">
        <f t="shared" si="33"/>
        <v>87</v>
      </c>
      <c r="AH45" s="10"/>
      <c r="AI45" s="1">
        <v>23</v>
      </c>
      <c r="AJ45" s="1">
        <v>47</v>
      </c>
      <c r="AK45" s="1">
        <v>20</v>
      </c>
      <c r="AL45" s="1">
        <v>20</v>
      </c>
      <c r="AM45" s="1">
        <v>75</v>
      </c>
      <c r="AN45" s="1">
        <f t="shared" si="34"/>
        <v>185</v>
      </c>
      <c r="AO45" s="1">
        <f t="shared" si="35"/>
        <v>93</v>
      </c>
      <c r="AP45" s="10"/>
      <c r="AQ45" s="1">
        <v>12</v>
      </c>
      <c r="AR45" s="1">
        <v>14.5</v>
      </c>
      <c r="AS45" s="1">
        <v>9</v>
      </c>
      <c r="AT45" s="1">
        <v>28</v>
      </c>
      <c r="AU45" s="1">
        <v>8.5</v>
      </c>
      <c r="AV45" s="1">
        <v>22</v>
      </c>
      <c r="AW45" s="1">
        <v>9.5</v>
      </c>
      <c r="AX45" s="1">
        <v>30</v>
      </c>
      <c r="AY45" s="1">
        <f t="shared" si="23"/>
        <v>21</v>
      </c>
      <c r="AZ45" s="1">
        <f t="shared" si="24"/>
        <v>37</v>
      </c>
      <c r="BA45" s="1">
        <f t="shared" si="25"/>
        <v>19</v>
      </c>
      <c r="BB45" s="1">
        <v>20</v>
      </c>
      <c r="BC45" s="1">
        <f t="shared" ref="BC45:BC76" si="36">ROUND(AT45+AX45,0)</f>
        <v>58</v>
      </c>
      <c r="BD45" s="1">
        <f t="shared" ref="BD45:BD76" si="37">SUM(AY45:BC45)</f>
        <v>155</v>
      </c>
      <c r="BE45" s="1">
        <f t="shared" ref="BE45:BE76" si="38">ROUND(BD45/2,0)</f>
        <v>78</v>
      </c>
      <c r="BF45" s="1"/>
      <c r="BG45" s="1"/>
      <c r="BH45" s="1"/>
      <c r="BI45" s="10"/>
      <c r="BJ45" s="10"/>
      <c r="BK45" s="10"/>
      <c r="BL45" s="10"/>
      <c r="BM45" s="10"/>
      <c r="BN45" s="10"/>
      <c r="BO45" s="10" t="s">
        <v>372</v>
      </c>
      <c r="BP45" s="10" t="s">
        <v>371</v>
      </c>
      <c r="BQ45" s="50"/>
      <c r="BR45" s="50">
        <f t="shared" si="15"/>
        <v>488</v>
      </c>
      <c r="BS45" s="51">
        <f t="shared" si="16"/>
        <v>81.333333333333329</v>
      </c>
      <c r="BT45" s="52" t="str">
        <f t="shared" si="14"/>
        <v>GRADE I with Distinction</v>
      </c>
      <c r="BU45" s="10"/>
    </row>
    <row r="46" spans="1:73" ht="18" customHeight="1" x14ac:dyDescent="0.25">
      <c r="A46" s="2">
        <v>41</v>
      </c>
      <c r="B46" s="5" t="s">
        <v>168</v>
      </c>
      <c r="C46" s="1">
        <v>15</v>
      </c>
      <c r="D46" s="1">
        <v>31</v>
      </c>
      <c r="E46" s="1">
        <v>18</v>
      </c>
      <c r="F46" s="1">
        <v>18</v>
      </c>
      <c r="G46" s="1">
        <v>54</v>
      </c>
      <c r="H46" s="1">
        <f t="shared" si="26"/>
        <v>136</v>
      </c>
      <c r="I46" s="1">
        <f t="shared" si="27"/>
        <v>68</v>
      </c>
      <c r="J46" s="10"/>
      <c r="K46" s="1">
        <v>13</v>
      </c>
      <c r="L46" s="1">
        <v>33</v>
      </c>
      <c r="M46" s="1">
        <v>11</v>
      </c>
      <c r="N46" s="1">
        <v>18</v>
      </c>
      <c r="O46" s="1">
        <v>51</v>
      </c>
      <c r="P46" s="1">
        <f t="shared" si="28"/>
        <v>126</v>
      </c>
      <c r="Q46" s="1">
        <f t="shared" si="29"/>
        <v>63</v>
      </c>
      <c r="R46" s="1"/>
      <c r="S46" s="59">
        <v>23</v>
      </c>
      <c r="T46" s="59">
        <v>39</v>
      </c>
      <c r="U46" s="59">
        <v>17</v>
      </c>
      <c r="V46" s="59">
        <v>20</v>
      </c>
      <c r="W46" s="59">
        <v>61</v>
      </c>
      <c r="X46" s="59">
        <f t="shared" si="30"/>
        <v>160</v>
      </c>
      <c r="Y46" s="59">
        <f t="shared" si="31"/>
        <v>80</v>
      </c>
      <c r="Z46" s="58"/>
      <c r="AA46" s="1">
        <v>23</v>
      </c>
      <c r="AB46" s="1">
        <v>33</v>
      </c>
      <c r="AC46" s="1">
        <v>11</v>
      </c>
      <c r="AD46" s="1">
        <v>16</v>
      </c>
      <c r="AE46" s="1">
        <v>35</v>
      </c>
      <c r="AF46" s="1">
        <f t="shared" si="32"/>
        <v>118</v>
      </c>
      <c r="AG46" s="1">
        <f t="shared" si="33"/>
        <v>59</v>
      </c>
      <c r="AH46" s="10"/>
      <c r="AI46" s="1">
        <v>20</v>
      </c>
      <c r="AJ46" s="1">
        <v>45</v>
      </c>
      <c r="AK46" s="1">
        <v>17</v>
      </c>
      <c r="AL46" s="1">
        <v>18</v>
      </c>
      <c r="AM46" s="1">
        <v>58</v>
      </c>
      <c r="AN46" s="1">
        <f t="shared" si="34"/>
        <v>158</v>
      </c>
      <c r="AO46" s="1">
        <f t="shared" si="35"/>
        <v>79</v>
      </c>
      <c r="AP46" s="10"/>
      <c r="AQ46" s="1">
        <v>12</v>
      </c>
      <c r="AR46" s="1">
        <v>16</v>
      </c>
      <c r="AS46" s="1">
        <v>7.5</v>
      </c>
      <c r="AT46" s="1">
        <v>18</v>
      </c>
      <c r="AU46" s="1">
        <v>9.5</v>
      </c>
      <c r="AV46" s="1">
        <v>19</v>
      </c>
      <c r="AW46" s="1">
        <v>6</v>
      </c>
      <c r="AX46" s="1">
        <v>19</v>
      </c>
      <c r="AY46" s="1">
        <f t="shared" si="23"/>
        <v>22</v>
      </c>
      <c r="AZ46" s="1">
        <f t="shared" si="24"/>
        <v>35</v>
      </c>
      <c r="BA46" s="1">
        <f t="shared" si="25"/>
        <v>14</v>
      </c>
      <c r="BB46" s="1">
        <v>17</v>
      </c>
      <c r="BC46" s="1">
        <f t="shared" si="36"/>
        <v>37</v>
      </c>
      <c r="BD46" s="1">
        <f t="shared" si="37"/>
        <v>125</v>
      </c>
      <c r="BE46" s="1">
        <f t="shared" si="38"/>
        <v>63</v>
      </c>
      <c r="BF46" s="1"/>
      <c r="BG46" s="1"/>
      <c r="BH46" s="1"/>
      <c r="BI46" s="10"/>
      <c r="BJ46" s="10"/>
      <c r="BK46" s="10"/>
      <c r="BL46" s="10"/>
      <c r="BM46" s="10"/>
      <c r="BN46" s="10"/>
      <c r="BO46" s="10" t="s">
        <v>371</v>
      </c>
      <c r="BP46" s="10" t="s">
        <v>371</v>
      </c>
      <c r="BQ46" s="50"/>
      <c r="BR46" s="50">
        <f t="shared" si="15"/>
        <v>412</v>
      </c>
      <c r="BS46" s="51">
        <f t="shared" si="16"/>
        <v>68.666666666666671</v>
      </c>
      <c r="BT46" s="52" t="str">
        <f t="shared" si="14"/>
        <v>GRADE I</v>
      </c>
      <c r="BU46" s="10"/>
    </row>
    <row r="47" spans="1:73" ht="18" customHeight="1" x14ac:dyDescent="0.25">
      <c r="A47" s="2">
        <v>42</v>
      </c>
      <c r="B47" s="5" t="s">
        <v>169</v>
      </c>
      <c r="C47" s="1">
        <v>10</v>
      </c>
      <c r="D47" s="1">
        <v>28</v>
      </c>
      <c r="E47" s="1">
        <v>17</v>
      </c>
      <c r="F47" s="1">
        <v>16</v>
      </c>
      <c r="G47" s="1">
        <v>50</v>
      </c>
      <c r="H47" s="1">
        <f t="shared" si="26"/>
        <v>121</v>
      </c>
      <c r="I47" s="1">
        <f t="shared" si="27"/>
        <v>61</v>
      </c>
      <c r="J47" s="10"/>
      <c r="K47" s="1">
        <v>14</v>
      </c>
      <c r="L47" s="1">
        <v>37</v>
      </c>
      <c r="M47" s="1">
        <v>9</v>
      </c>
      <c r="N47" s="1">
        <v>20</v>
      </c>
      <c r="O47" s="1">
        <v>42</v>
      </c>
      <c r="P47" s="1">
        <f t="shared" si="28"/>
        <v>122</v>
      </c>
      <c r="Q47" s="1">
        <f t="shared" si="29"/>
        <v>61</v>
      </c>
      <c r="R47" s="1"/>
      <c r="S47" s="59">
        <v>17</v>
      </c>
      <c r="T47" s="59">
        <v>40</v>
      </c>
      <c r="U47" s="59">
        <v>18</v>
      </c>
      <c r="V47" s="59">
        <v>18</v>
      </c>
      <c r="W47" s="59">
        <v>65</v>
      </c>
      <c r="X47" s="59">
        <f t="shared" si="30"/>
        <v>158</v>
      </c>
      <c r="Y47" s="59">
        <f t="shared" si="31"/>
        <v>79</v>
      </c>
      <c r="Z47" s="58"/>
      <c r="AA47" s="1">
        <v>21</v>
      </c>
      <c r="AB47" s="1">
        <v>21</v>
      </c>
      <c r="AC47" s="1">
        <v>11</v>
      </c>
      <c r="AD47" s="1">
        <v>16</v>
      </c>
      <c r="AE47" s="1">
        <v>43</v>
      </c>
      <c r="AF47" s="1">
        <f t="shared" si="32"/>
        <v>112</v>
      </c>
      <c r="AG47" s="1">
        <f t="shared" si="33"/>
        <v>56</v>
      </c>
      <c r="AH47" s="10"/>
      <c r="AI47" s="1">
        <v>11</v>
      </c>
      <c r="AJ47" s="1">
        <v>36</v>
      </c>
      <c r="AK47" s="1">
        <v>15</v>
      </c>
      <c r="AL47" s="1">
        <v>16</v>
      </c>
      <c r="AM47" s="1">
        <v>48</v>
      </c>
      <c r="AN47" s="1">
        <f t="shared" si="34"/>
        <v>126</v>
      </c>
      <c r="AO47" s="1">
        <f t="shared" si="35"/>
        <v>63</v>
      </c>
      <c r="AP47" s="10"/>
      <c r="AQ47" s="1">
        <v>11</v>
      </c>
      <c r="AR47" s="1">
        <v>14.5</v>
      </c>
      <c r="AS47" s="1">
        <v>6.5</v>
      </c>
      <c r="AT47" s="1">
        <v>12</v>
      </c>
      <c r="AU47" s="1">
        <v>6</v>
      </c>
      <c r="AV47" s="1">
        <v>15</v>
      </c>
      <c r="AW47" s="1">
        <v>6.5</v>
      </c>
      <c r="AX47" s="1">
        <v>16</v>
      </c>
      <c r="AY47" s="1">
        <f t="shared" si="23"/>
        <v>17</v>
      </c>
      <c r="AZ47" s="1">
        <f t="shared" si="24"/>
        <v>30</v>
      </c>
      <c r="BA47" s="1">
        <f t="shared" si="25"/>
        <v>13</v>
      </c>
      <c r="BB47" s="1">
        <v>14</v>
      </c>
      <c r="BC47" s="1">
        <f t="shared" si="36"/>
        <v>28</v>
      </c>
      <c r="BD47" s="1">
        <f t="shared" si="37"/>
        <v>102</v>
      </c>
      <c r="BE47" s="1">
        <f t="shared" si="38"/>
        <v>51</v>
      </c>
      <c r="BF47" s="1"/>
      <c r="BG47" s="1"/>
      <c r="BH47" s="1"/>
      <c r="BI47" s="10"/>
      <c r="BJ47" s="10"/>
      <c r="BK47" s="10"/>
      <c r="BL47" s="10"/>
      <c r="BM47" s="10"/>
      <c r="BN47" s="10"/>
      <c r="BO47" s="10" t="s">
        <v>371</v>
      </c>
      <c r="BP47" s="10" t="s">
        <v>371</v>
      </c>
      <c r="BQ47" s="50"/>
      <c r="BR47" s="50">
        <f t="shared" si="15"/>
        <v>371</v>
      </c>
      <c r="BS47" s="51">
        <f t="shared" si="16"/>
        <v>61.833333333333336</v>
      </c>
      <c r="BT47" s="52" t="str">
        <f t="shared" si="14"/>
        <v>GRADE I</v>
      </c>
      <c r="BU47" s="10"/>
    </row>
    <row r="48" spans="1:73" ht="18" customHeight="1" x14ac:dyDescent="0.25">
      <c r="A48" s="2">
        <v>43</v>
      </c>
      <c r="B48" s="5" t="s">
        <v>170</v>
      </c>
      <c r="C48" s="1">
        <v>6</v>
      </c>
      <c r="D48" s="1">
        <v>21</v>
      </c>
      <c r="E48" s="1">
        <v>16</v>
      </c>
      <c r="F48" s="1">
        <v>17</v>
      </c>
      <c r="G48" s="1">
        <v>42</v>
      </c>
      <c r="H48" s="1">
        <f t="shared" si="26"/>
        <v>102</v>
      </c>
      <c r="I48" s="1">
        <f t="shared" si="27"/>
        <v>51</v>
      </c>
      <c r="J48" s="10"/>
      <c r="K48" s="1">
        <v>10</v>
      </c>
      <c r="L48" s="1">
        <v>32</v>
      </c>
      <c r="M48" s="1">
        <v>15</v>
      </c>
      <c r="N48" s="1">
        <v>18</v>
      </c>
      <c r="O48" s="1">
        <v>48</v>
      </c>
      <c r="P48" s="1">
        <f t="shared" si="28"/>
        <v>123</v>
      </c>
      <c r="Q48" s="1">
        <f t="shared" si="29"/>
        <v>62</v>
      </c>
      <c r="R48" s="1"/>
      <c r="S48" s="59">
        <v>21</v>
      </c>
      <c r="T48" s="59">
        <v>45</v>
      </c>
      <c r="U48" s="59">
        <v>15</v>
      </c>
      <c r="V48" s="59">
        <v>18</v>
      </c>
      <c r="W48" s="59">
        <v>68</v>
      </c>
      <c r="X48" s="59">
        <f t="shared" si="30"/>
        <v>167</v>
      </c>
      <c r="Y48" s="59">
        <f t="shared" si="31"/>
        <v>84</v>
      </c>
      <c r="Z48" s="58"/>
      <c r="AA48" s="1">
        <v>15</v>
      </c>
      <c r="AB48" s="1">
        <v>23</v>
      </c>
      <c r="AC48" s="1">
        <v>15</v>
      </c>
      <c r="AD48" s="1">
        <v>17</v>
      </c>
      <c r="AE48" s="1">
        <v>25</v>
      </c>
      <c r="AF48" s="1">
        <f t="shared" si="32"/>
        <v>95</v>
      </c>
      <c r="AG48" s="1">
        <f t="shared" si="33"/>
        <v>48</v>
      </c>
      <c r="AH48" s="10"/>
      <c r="AI48" s="1">
        <v>14</v>
      </c>
      <c r="AJ48" s="1">
        <v>44</v>
      </c>
      <c r="AK48" s="1">
        <v>18</v>
      </c>
      <c r="AL48" s="1">
        <v>18</v>
      </c>
      <c r="AM48" s="1">
        <v>66</v>
      </c>
      <c r="AN48" s="1">
        <f t="shared" si="34"/>
        <v>160</v>
      </c>
      <c r="AO48" s="1">
        <f t="shared" si="35"/>
        <v>80</v>
      </c>
      <c r="AP48" s="10"/>
      <c r="AQ48" s="1">
        <v>8</v>
      </c>
      <c r="AR48" s="1">
        <v>6</v>
      </c>
      <c r="AS48" s="1">
        <v>3</v>
      </c>
      <c r="AT48" s="1">
        <v>12</v>
      </c>
      <c r="AU48" s="1">
        <v>4</v>
      </c>
      <c r="AV48" s="1">
        <v>7</v>
      </c>
      <c r="AW48" s="1">
        <v>4.5</v>
      </c>
      <c r="AX48" s="1">
        <v>4</v>
      </c>
      <c r="AY48" s="1">
        <f t="shared" si="23"/>
        <v>12</v>
      </c>
      <c r="AZ48" s="1">
        <f t="shared" si="24"/>
        <v>13</v>
      </c>
      <c r="BA48" s="1">
        <f t="shared" si="25"/>
        <v>8</v>
      </c>
      <c r="BB48" s="1">
        <v>12</v>
      </c>
      <c r="BC48" s="1">
        <f t="shared" si="36"/>
        <v>16</v>
      </c>
      <c r="BD48" s="1">
        <f t="shared" si="37"/>
        <v>61</v>
      </c>
      <c r="BE48" s="1">
        <f t="shared" si="38"/>
        <v>31</v>
      </c>
      <c r="BF48" s="1">
        <v>4</v>
      </c>
      <c r="BG48" s="1"/>
      <c r="BH48" s="1"/>
      <c r="BI48" s="10"/>
      <c r="BJ48" s="10"/>
      <c r="BK48" s="10"/>
      <c r="BL48" s="10"/>
      <c r="BM48" s="10"/>
      <c r="BN48" s="10"/>
      <c r="BO48" s="10" t="s">
        <v>372</v>
      </c>
      <c r="BP48" s="10" t="s">
        <v>371</v>
      </c>
      <c r="BQ48" s="50">
        <v>4</v>
      </c>
      <c r="BR48" s="50">
        <f t="shared" si="15"/>
        <v>356</v>
      </c>
      <c r="BS48" s="51">
        <f t="shared" si="16"/>
        <v>59.333333333333336</v>
      </c>
      <c r="BT48" s="52" t="s">
        <v>375</v>
      </c>
      <c r="BU48" s="10"/>
    </row>
    <row r="49" spans="1:73" ht="18" customHeight="1" x14ac:dyDescent="0.25">
      <c r="A49" s="2">
        <v>44</v>
      </c>
      <c r="B49" s="5" t="s">
        <v>171</v>
      </c>
      <c r="C49" s="1">
        <v>14</v>
      </c>
      <c r="D49" s="1">
        <v>31</v>
      </c>
      <c r="E49" s="1">
        <v>20</v>
      </c>
      <c r="F49" s="1">
        <v>18</v>
      </c>
      <c r="G49" s="1">
        <v>63</v>
      </c>
      <c r="H49" s="1">
        <f t="shared" si="26"/>
        <v>146</v>
      </c>
      <c r="I49" s="1">
        <f t="shared" si="27"/>
        <v>73</v>
      </c>
      <c r="J49" s="10"/>
      <c r="K49" s="1">
        <v>16</v>
      </c>
      <c r="L49" s="1">
        <v>42</v>
      </c>
      <c r="M49" s="1">
        <v>17</v>
      </c>
      <c r="N49" s="1">
        <v>20</v>
      </c>
      <c r="O49" s="1">
        <v>70</v>
      </c>
      <c r="P49" s="1">
        <f t="shared" si="28"/>
        <v>165</v>
      </c>
      <c r="Q49" s="1">
        <f t="shared" si="29"/>
        <v>83</v>
      </c>
      <c r="R49" s="1"/>
      <c r="S49" s="59">
        <v>23</v>
      </c>
      <c r="T49" s="59">
        <v>42</v>
      </c>
      <c r="U49" s="59">
        <v>18</v>
      </c>
      <c r="V49" s="59">
        <v>19</v>
      </c>
      <c r="W49" s="59">
        <v>75</v>
      </c>
      <c r="X49" s="59">
        <f t="shared" si="30"/>
        <v>177</v>
      </c>
      <c r="Y49" s="59">
        <f t="shared" si="31"/>
        <v>89</v>
      </c>
      <c r="Z49" s="58"/>
      <c r="AA49" s="1">
        <v>21</v>
      </c>
      <c r="AB49" s="1">
        <v>31</v>
      </c>
      <c r="AC49" s="1">
        <v>14</v>
      </c>
      <c r="AD49" s="1">
        <v>19</v>
      </c>
      <c r="AE49" s="1">
        <v>40</v>
      </c>
      <c r="AF49" s="1">
        <f t="shared" si="32"/>
        <v>125</v>
      </c>
      <c r="AG49" s="1">
        <f t="shared" si="33"/>
        <v>63</v>
      </c>
      <c r="AH49" s="10"/>
      <c r="AI49" s="1">
        <v>20</v>
      </c>
      <c r="AJ49" s="1">
        <v>46</v>
      </c>
      <c r="AK49" s="1">
        <v>22</v>
      </c>
      <c r="AL49" s="1">
        <v>20</v>
      </c>
      <c r="AM49" s="1">
        <v>62</v>
      </c>
      <c r="AN49" s="1">
        <f t="shared" si="34"/>
        <v>170</v>
      </c>
      <c r="AO49" s="1">
        <f t="shared" si="35"/>
        <v>85</v>
      </c>
      <c r="AP49" s="10"/>
      <c r="AQ49" s="1">
        <v>12</v>
      </c>
      <c r="AR49" s="1">
        <v>24</v>
      </c>
      <c r="AS49" s="1">
        <v>7</v>
      </c>
      <c r="AT49" s="1">
        <v>30</v>
      </c>
      <c r="AU49" s="1">
        <v>10.5</v>
      </c>
      <c r="AV49" s="1">
        <v>17</v>
      </c>
      <c r="AW49" s="1">
        <v>7.5</v>
      </c>
      <c r="AX49" s="1">
        <v>28</v>
      </c>
      <c r="AY49" s="1">
        <f t="shared" si="23"/>
        <v>23</v>
      </c>
      <c r="AZ49" s="1">
        <f t="shared" si="24"/>
        <v>41</v>
      </c>
      <c r="BA49" s="1">
        <f t="shared" si="25"/>
        <v>15</v>
      </c>
      <c r="BB49" s="1">
        <v>18</v>
      </c>
      <c r="BC49" s="1">
        <f t="shared" si="36"/>
        <v>58</v>
      </c>
      <c r="BD49" s="1">
        <f t="shared" si="37"/>
        <v>155</v>
      </c>
      <c r="BE49" s="1">
        <f t="shared" si="38"/>
        <v>78</v>
      </c>
      <c r="BF49" s="1"/>
      <c r="BG49" s="1"/>
      <c r="BH49" s="1"/>
      <c r="BI49" s="10"/>
      <c r="BJ49" s="10"/>
      <c r="BK49" s="10"/>
      <c r="BL49" s="10"/>
      <c r="BM49" s="10"/>
      <c r="BN49" s="10"/>
      <c r="BO49" s="10" t="s">
        <v>372</v>
      </c>
      <c r="BP49" s="10" t="s">
        <v>371</v>
      </c>
      <c r="BQ49" s="50"/>
      <c r="BR49" s="50">
        <f t="shared" si="15"/>
        <v>471</v>
      </c>
      <c r="BS49" s="51">
        <f t="shared" si="16"/>
        <v>78.5</v>
      </c>
      <c r="BT49" s="52" t="str">
        <f t="shared" si="14"/>
        <v>GRADE I with Distinction</v>
      </c>
      <c r="BU49" s="10"/>
    </row>
    <row r="50" spans="1:73" ht="18" customHeight="1" x14ac:dyDescent="0.25">
      <c r="A50" s="2">
        <v>45</v>
      </c>
      <c r="B50" s="5" t="s">
        <v>172</v>
      </c>
      <c r="C50" s="1">
        <v>19</v>
      </c>
      <c r="D50" s="1">
        <v>31</v>
      </c>
      <c r="E50" s="1">
        <v>19</v>
      </c>
      <c r="F50" s="1">
        <v>12</v>
      </c>
      <c r="G50" s="1">
        <v>59</v>
      </c>
      <c r="H50" s="1">
        <f t="shared" si="26"/>
        <v>140</v>
      </c>
      <c r="I50" s="1">
        <f t="shared" si="27"/>
        <v>70</v>
      </c>
      <c r="J50" s="10"/>
      <c r="K50" s="1">
        <v>14</v>
      </c>
      <c r="L50" s="1">
        <v>43</v>
      </c>
      <c r="M50" s="1">
        <v>9</v>
      </c>
      <c r="N50" s="1">
        <v>18</v>
      </c>
      <c r="O50" s="1">
        <v>61</v>
      </c>
      <c r="P50" s="1">
        <f t="shared" si="28"/>
        <v>145</v>
      </c>
      <c r="Q50" s="1">
        <f t="shared" si="29"/>
        <v>73</v>
      </c>
      <c r="R50" s="1"/>
      <c r="S50" s="59">
        <v>25</v>
      </c>
      <c r="T50" s="59">
        <v>46</v>
      </c>
      <c r="U50" s="59">
        <v>19</v>
      </c>
      <c r="V50" s="59">
        <v>19</v>
      </c>
      <c r="W50" s="59">
        <v>71</v>
      </c>
      <c r="X50" s="59">
        <f t="shared" si="30"/>
        <v>180</v>
      </c>
      <c r="Y50" s="59">
        <f t="shared" si="31"/>
        <v>90</v>
      </c>
      <c r="Z50" s="58"/>
      <c r="AA50" s="1">
        <v>21</v>
      </c>
      <c r="AB50" s="1">
        <v>28</v>
      </c>
      <c r="AC50" s="1">
        <v>8</v>
      </c>
      <c r="AD50" s="1">
        <v>18</v>
      </c>
      <c r="AE50" s="1">
        <v>53</v>
      </c>
      <c r="AF50" s="1">
        <f t="shared" si="32"/>
        <v>128</v>
      </c>
      <c r="AG50" s="1">
        <f t="shared" si="33"/>
        <v>64</v>
      </c>
      <c r="AH50" s="10"/>
      <c r="AI50" s="1">
        <v>20</v>
      </c>
      <c r="AJ50" s="1">
        <v>49</v>
      </c>
      <c r="AK50" s="1">
        <v>15</v>
      </c>
      <c r="AL50" s="1">
        <v>18</v>
      </c>
      <c r="AM50" s="1">
        <v>74</v>
      </c>
      <c r="AN50" s="1">
        <f t="shared" si="34"/>
        <v>176</v>
      </c>
      <c r="AO50" s="1">
        <f t="shared" si="35"/>
        <v>88</v>
      </c>
      <c r="AP50" s="10"/>
      <c r="AQ50" s="1">
        <v>10</v>
      </c>
      <c r="AR50" s="1">
        <v>17.5</v>
      </c>
      <c r="AS50" s="1">
        <v>6</v>
      </c>
      <c r="AT50" s="1">
        <v>23</v>
      </c>
      <c r="AU50" s="1">
        <v>6.5</v>
      </c>
      <c r="AV50" s="1">
        <v>11.5</v>
      </c>
      <c r="AW50" s="1">
        <v>3</v>
      </c>
      <c r="AX50" s="1">
        <v>17</v>
      </c>
      <c r="AY50" s="1">
        <f t="shared" si="23"/>
        <v>17</v>
      </c>
      <c r="AZ50" s="1">
        <f t="shared" si="24"/>
        <v>29</v>
      </c>
      <c r="BA50" s="1">
        <f t="shared" si="25"/>
        <v>9</v>
      </c>
      <c r="BB50" s="1">
        <v>16</v>
      </c>
      <c r="BC50" s="1">
        <f t="shared" si="36"/>
        <v>40</v>
      </c>
      <c r="BD50" s="1">
        <f t="shared" si="37"/>
        <v>111</v>
      </c>
      <c r="BE50" s="1">
        <f t="shared" si="38"/>
        <v>56</v>
      </c>
      <c r="BF50" s="1"/>
      <c r="BG50" s="1"/>
      <c r="BH50" s="1"/>
      <c r="BI50" s="10"/>
      <c r="BJ50" s="10"/>
      <c r="BK50" s="10"/>
      <c r="BL50" s="10"/>
      <c r="BM50" s="10"/>
      <c r="BN50" s="10"/>
      <c r="BO50" s="10" t="s">
        <v>371</v>
      </c>
      <c r="BP50" s="10" t="s">
        <v>371</v>
      </c>
      <c r="BQ50" s="50"/>
      <c r="BR50" s="50">
        <f t="shared" si="15"/>
        <v>441</v>
      </c>
      <c r="BS50" s="51">
        <f t="shared" si="16"/>
        <v>73.5</v>
      </c>
      <c r="BT50" s="52" t="str">
        <f t="shared" si="14"/>
        <v>GRADE I</v>
      </c>
      <c r="BU50" s="10"/>
    </row>
    <row r="51" spans="1:73" ht="18" customHeight="1" x14ac:dyDescent="0.25">
      <c r="A51" s="2">
        <v>46</v>
      </c>
      <c r="B51" s="5" t="s">
        <v>173</v>
      </c>
      <c r="C51" s="1">
        <v>10</v>
      </c>
      <c r="D51" s="1">
        <v>12</v>
      </c>
      <c r="E51" s="1">
        <v>10</v>
      </c>
      <c r="F51" s="1">
        <v>13</v>
      </c>
      <c r="G51" s="1">
        <v>38</v>
      </c>
      <c r="H51" s="1">
        <f t="shared" si="26"/>
        <v>83</v>
      </c>
      <c r="I51" s="1">
        <f t="shared" si="27"/>
        <v>42</v>
      </c>
      <c r="J51" s="10"/>
      <c r="K51" s="1">
        <v>5</v>
      </c>
      <c r="L51" s="1">
        <v>31</v>
      </c>
      <c r="M51" s="1">
        <v>7</v>
      </c>
      <c r="N51" s="1">
        <v>17</v>
      </c>
      <c r="O51" s="1">
        <v>41</v>
      </c>
      <c r="P51" s="1">
        <f t="shared" si="28"/>
        <v>101</v>
      </c>
      <c r="Q51" s="1">
        <f t="shared" si="29"/>
        <v>51</v>
      </c>
      <c r="R51" s="1"/>
      <c r="S51" s="59">
        <v>15</v>
      </c>
      <c r="T51" s="59">
        <v>30</v>
      </c>
      <c r="U51" s="59">
        <v>11</v>
      </c>
      <c r="V51" s="59">
        <v>14</v>
      </c>
      <c r="W51" s="59">
        <v>43</v>
      </c>
      <c r="X51" s="59">
        <f t="shared" si="30"/>
        <v>113</v>
      </c>
      <c r="Y51" s="59">
        <f t="shared" si="31"/>
        <v>57</v>
      </c>
      <c r="Z51" s="58"/>
      <c r="AA51" s="1">
        <v>11</v>
      </c>
      <c r="AB51" s="1">
        <v>11</v>
      </c>
      <c r="AC51" s="1">
        <v>9</v>
      </c>
      <c r="AD51" s="1">
        <v>10</v>
      </c>
      <c r="AE51" s="1">
        <v>31</v>
      </c>
      <c r="AF51" s="1">
        <f t="shared" si="32"/>
        <v>72</v>
      </c>
      <c r="AG51" s="1">
        <f t="shared" si="33"/>
        <v>36</v>
      </c>
      <c r="AH51" s="10"/>
      <c r="AI51" s="1">
        <v>8</v>
      </c>
      <c r="AJ51" s="1">
        <v>36</v>
      </c>
      <c r="AK51" s="1">
        <v>15</v>
      </c>
      <c r="AL51" s="1">
        <v>16</v>
      </c>
      <c r="AM51" s="1">
        <v>43</v>
      </c>
      <c r="AN51" s="1">
        <f t="shared" si="34"/>
        <v>118</v>
      </c>
      <c r="AO51" s="1">
        <f t="shared" si="35"/>
        <v>59</v>
      </c>
      <c r="AP51" s="10"/>
      <c r="AQ51" s="1">
        <v>9</v>
      </c>
      <c r="AR51" s="1">
        <v>4</v>
      </c>
      <c r="AS51" s="1">
        <v>3</v>
      </c>
      <c r="AT51" s="1">
        <v>10</v>
      </c>
      <c r="AU51" s="1">
        <v>1</v>
      </c>
      <c r="AV51" s="1">
        <v>11</v>
      </c>
      <c r="AW51" s="1">
        <v>4</v>
      </c>
      <c r="AX51" s="1">
        <v>9</v>
      </c>
      <c r="AY51" s="1">
        <f t="shared" si="23"/>
        <v>10</v>
      </c>
      <c r="AZ51" s="1">
        <f t="shared" si="24"/>
        <v>15</v>
      </c>
      <c r="BA51" s="1">
        <f t="shared" si="25"/>
        <v>7</v>
      </c>
      <c r="BB51" s="1">
        <v>6</v>
      </c>
      <c r="BC51" s="1">
        <f t="shared" si="36"/>
        <v>19</v>
      </c>
      <c r="BD51" s="1">
        <f t="shared" si="37"/>
        <v>57</v>
      </c>
      <c r="BE51" s="1">
        <f t="shared" si="38"/>
        <v>29</v>
      </c>
      <c r="BF51" s="1">
        <v>6</v>
      </c>
      <c r="BG51" s="1"/>
      <c r="BH51" s="1"/>
      <c r="BI51" s="10"/>
      <c r="BJ51" s="10"/>
      <c r="BK51" s="10"/>
      <c r="BL51" s="10"/>
      <c r="BM51" s="10"/>
      <c r="BN51" s="10"/>
      <c r="BO51" s="10" t="s">
        <v>372</v>
      </c>
      <c r="BP51" s="10" t="s">
        <v>372</v>
      </c>
      <c r="BQ51" s="50">
        <v>6</v>
      </c>
      <c r="BR51" s="50">
        <f t="shared" si="15"/>
        <v>274</v>
      </c>
      <c r="BS51" s="51">
        <f t="shared" si="16"/>
        <v>45.666666666666664</v>
      </c>
      <c r="BT51" s="52" t="s">
        <v>375</v>
      </c>
      <c r="BU51" s="10"/>
    </row>
    <row r="52" spans="1:73" ht="18" customHeight="1" x14ac:dyDescent="0.25">
      <c r="A52" s="2">
        <v>47</v>
      </c>
      <c r="B52" s="5" t="s">
        <v>174</v>
      </c>
      <c r="C52" s="1">
        <v>16</v>
      </c>
      <c r="D52" s="1">
        <v>36</v>
      </c>
      <c r="E52" s="1">
        <v>18</v>
      </c>
      <c r="F52" s="1">
        <v>18</v>
      </c>
      <c r="G52" s="1">
        <v>58</v>
      </c>
      <c r="H52" s="1">
        <f t="shared" si="26"/>
        <v>146</v>
      </c>
      <c r="I52" s="1">
        <f t="shared" si="27"/>
        <v>73</v>
      </c>
      <c r="J52" s="10"/>
      <c r="K52" s="1">
        <v>18</v>
      </c>
      <c r="L52" s="1">
        <v>46</v>
      </c>
      <c r="M52" s="1">
        <v>20</v>
      </c>
      <c r="N52" s="1">
        <v>18</v>
      </c>
      <c r="O52" s="1">
        <v>71</v>
      </c>
      <c r="P52" s="1">
        <f t="shared" si="28"/>
        <v>173</v>
      </c>
      <c r="Q52" s="1">
        <f t="shared" si="29"/>
        <v>87</v>
      </c>
      <c r="R52" s="1"/>
      <c r="S52" s="59">
        <v>25</v>
      </c>
      <c r="T52" s="59">
        <v>47</v>
      </c>
      <c r="U52" s="59">
        <v>20</v>
      </c>
      <c r="V52" s="59">
        <v>20</v>
      </c>
      <c r="W52" s="59">
        <v>73</v>
      </c>
      <c r="X52" s="59">
        <f t="shared" si="30"/>
        <v>185</v>
      </c>
      <c r="Y52" s="59">
        <f t="shared" si="31"/>
        <v>93</v>
      </c>
      <c r="Z52" s="58"/>
      <c r="AA52" s="1">
        <v>25</v>
      </c>
      <c r="AB52" s="1">
        <v>48</v>
      </c>
      <c r="AC52" s="1">
        <v>23</v>
      </c>
      <c r="AD52" s="1">
        <v>20</v>
      </c>
      <c r="AE52" s="1">
        <v>71</v>
      </c>
      <c r="AF52" s="1">
        <f t="shared" si="32"/>
        <v>187</v>
      </c>
      <c r="AG52" s="1">
        <f t="shared" si="33"/>
        <v>94</v>
      </c>
      <c r="AH52" s="10"/>
      <c r="AI52" s="1">
        <v>23</v>
      </c>
      <c r="AJ52" s="1">
        <v>48</v>
      </c>
      <c r="AK52" s="1">
        <v>25</v>
      </c>
      <c r="AL52" s="1">
        <v>20</v>
      </c>
      <c r="AM52" s="1">
        <v>76</v>
      </c>
      <c r="AN52" s="1">
        <f t="shared" si="34"/>
        <v>192</v>
      </c>
      <c r="AO52" s="1">
        <f t="shared" si="35"/>
        <v>96</v>
      </c>
      <c r="AP52" s="10"/>
      <c r="AQ52" s="1">
        <v>13</v>
      </c>
      <c r="AR52" s="1">
        <v>24</v>
      </c>
      <c r="AS52" s="1">
        <v>10.5</v>
      </c>
      <c r="AT52" s="1">
        <v>35</v>
      </c>
      <c r="AU52" s="1">
        <v>10</v>
      </c>
      <c r="AV52" s="1">
        <v>24</v>
      </c>
      <c r="AW52" s="1">
        <v>11</v>
      </c>
      <c r="AX52" s="1">
        <v>35</v>
      </c>
      <c r="AY52" s="1">
        <f t="shared" si="23"/>
        <v>23</v>
      </c>
      <c r="AZ52" s="1">
        <f t="shared" si="24"/>
        <v>48</v>
      </c>
      <c r="BA52" s="1">
        <f t="shared" si="25"/>
        <v>22</v>
      </c>
      <c r="BB52" s="1">
        <v>20</v>
      </c>
      <c r="BC52" s="1">
        <f t="shared" si="36"/>
        <v>70</v>
      </c>
      <c r="BD52" s="1">
        <f t="shared" si="37"/>
        <v>183</v>
      </c>
      <c r="BE52" s="1">
        <f t="shared" si="38"/>
        <v>92</v>
      </c>
      <c r="BF52" s="1"/>
      <c r="BG52" s="1"/>
      <c r="BH52" s="1"/>
      <c r="BI52" s="10"/>
      <c r="BJ52" s="10"/>
      <c r="BK52" s="10"/>
      <c r="BL52" s="10"/>
      <c r="BM52" s="10"/>
      <c r="BN52" s="10"/>
      <c r="BO52" s="10" t="s">
        <v>371</v>
      </c>
      <c r="BP52" s="10" t="s">
        <v>371</v>
      </c>
      <c r="BQ52" s="50"/>
      <c r="BR52" s="50">
        <f t="shared" si="15"/>
        <v>535</v>
      </c>
      <c r="BS52" s="51">
        <f t="shared" si="16"/>
        <v>89.166666666666671</v>
      </c>
      <c r="BT52" s="52" t="str">
        <f t="shared" si="14"/>
        <v>GRADE I with Distinction</v>
      </c>
      <c r="BU52" s="10"/>
    </row>
    <row r="53" spans="1:73" ht="18" customHeight="1" x14ac:dyDescent="0.25">
      <c r="A53" s="2">
        <v>48</v>
      </c>
      <c r="B53" s="5" t="s">
        <v>175</v>
      </c>
      <c r="C53" s="1">
        <v>15</v>
      </c>
      <c r="D53" s="1">
        <v>36</v>
      </c>
      <c r="E53" s="1">
        <v>18</v>
      </c>
      <c r="F53" s="1">
        <v>13</v>
      </c>
      <c r="G53" s="1">
        <v>55</v>
      </c>
      <c r="H53" s="1">
        <f t="shared" si="26"/>
        <v>137</v>
      </c>
      <c r="I53" s="1">
        <f t="shared" si="27"/>
        <v>69</v>
      </c>
      <c r="J53" s="10"/>
      <c r="K53" s="1">
        <v>18</v>
      </c>
      <c r="L53" s="1">
        <v>42</v>
      </c>
      <c r="M53" s="1">
        <v>18</v>
      </c>
      <c r="N53" s="1">
        <v>18</v>
      </c>
      <c r="O53" s="1">
        <v>65</v>
      </c>
      <c r="P53" s="1">
        <f t="shared" si="28"/>
        <v>161</v>
      </c>
      <c r="Q53" s="1">
        <f t="shared" si="29"/>
        <v>81</v>
      </c>
      <c r="R53" s="1"/>
      <c r="S53" s="59">
        <v>22</v>
      </c>
      <c r="T53" s="59">
        <v>41</v>
      </c>
      <c r="U53" s="59">
        <v>21</v>
      </c>
      <c r="V53" s="59">
        <v>18</v>
      </c>
      <c r="W53" s="59">
        <v>71</v>
      </c>
      <c r="X53" s="59">
        <f t="shared" si="30"/>
        <v>173</v>
      </c>
      <c r="Y53" s="59">
        <f t="shared" si="31"/>
        <v>87</v>
      </c>
      <c r="Z53" s="58"/>
      <c r="AA53" s="1">
        <v>20</v>
      </c>
      <c r="AB53" s="1">
        <v>31</v>
      </c>
      <c r="AC53" s="1">
        <v>11</v>
      </c>
      <c r="AD53" s="1">
        <v>16</v>
      </c>
      <c r="AE53" s="1">
        <v>43</v>
      </c>
      <c r="AF53" s="1">
        <f t="shared" si="32"/>
        <v>121</v>
      </c>
      <c r="AG53" s="1">
        <f t="shared" si="33"/>
        <v>61</v>
      </c>
      <c r="AH53" s="10"/>
      <c r="AI53" s="1">
        <v>21</v>
      </c>
      <c r="AJ53" s="1">
        <v>47</v>
      </c>
      <c r="AK53" s="1">
        <v>16</v>
      </c>
      <c r="AL53" s="1">
        <v>19</v>
      </c>
      <c r="AM53" s="1">
        <v>75</v>
      </c>
      <c r="AN53" s="1">
        <f t="shared" si="34"/>
        <v>178</v>
      </c>
      <c r="AO53" s="1">
        <f t="shared" si="35"/>
        <v>89</v>
      </c>
      <c r="AP53" s="10"/>
      <c r="AQ53" s="1">
        <v>7</v>
      </c>
      <c r="AR53" s="1">
        <v>6</v>
      </c>
      <c r="AS53" s="1">
        <v>2.5</v>
      </c>
      <c r="AT53" s="1">
        <v>9</v>
      </c>
      <c r="AU53" s="1">
        <v>2</v>
      </c>
      <c r="AV53" s="1">
        <v>5</v>
      </c>
      <c r="AW53" s="1">
        <v>4</v>
      </c>
      <c r="AX53" s="1">
        <v>13</v>
      </c>
      <c r="AY53" s="1">
        <f t="shared" si="23"/>
        <v>9</v>
      </c>
      <c r="AZ53" s="1">
        <f t="shared" si="24"/>
        <v>11</v>
      </c>
      <c r="BA53" s="1">
        <f t="shared" si="25"/>
        <v>7</v>
      </c>
      <c r="BB53" s="1">
        <v>13</v>
      </c>
      <c r="BC53" s="1">
        <f t="shared" si="36"/>
        <v>22</v>
      </c>
      <c r="BD53" s="1">
        <f t="shared" si="37"/>
        <v>62</v>
      </c>
      <c r="BE53" s="1">
        <f t="shared" si="38"/>
        <v>31</v>
      </c>
      <c r="BF53" s="1">
        <v>4</v>
      </c>
      <c r="BG53" s="1"/>
      <c r="BH53" s="1"/>
      <c r="BI53" s="10"/>
      <c r="BJ53" s="10"/>
      <c r="BK53" s="10"/>
      <c r="BL53" s="10"/>
      <c r="BM53" s="10"/>
      <c r="BN53" s="10"/>
      <c r="BO53" s="10" t="s">
        <v>371</v>
      </c>
      <c r="BP53" s="10" t="s">
        <v>371</v>
      </c>
      <c r="BQ53" s="50">
        <f t="shared" ref="BQ53" si="39">J53+R53+Z53+AH53+AP53+BF53</f>
        <v>4</v>
      </c>
      <c r="BR53" s="50">
        <f t="shared" si="15"/>
        <v>418</v>
      </c>
      <c r="BS53" s="51">
        <f t="shared" si="16"/>
        <v>69.666666666666671</v>
      </c>
      <c r="BT53" s="52" t="s">
        <v>375</v>
      </c>
      <c r="BU53" s="10"/>
    </row>
    <row r="54" spans="1:73" ht="18" customHeight="1" x14ac:dyDescent="0.25">
      <c r="A54" s="2">
        <v>49</v>
      </c>
      <c r="B54" s="5" t="s">
        <v>176</v>
      </c>
      <c r="C54" s="1">
        <v>18</v>
      </c>
      <c r="D54" s="1">
        <v>38</v>
      </c>
      <c r="E54" s="1">
        <v>20</v>
      </c>
      <c r="F54" s="1">
        <v>16</v>
      </c>
      <c r="G54" s="1">
        <v>63</v>
      </c>
      <c r="H54" s="1">
        <f t="shared" si="26"/>
        <v>155</v>
      </c>
      <c r="I54" s="1">
        <f t="shared" si="27"/>
        <v>78</v>
      </c>
      <c r="J54" s="10"/>
      <c r="K54" s="1">
        <v>19</v>
      </c>
      <c r="L54" s="1">
        <v>44</v>
      </c>
      <c r="M54" s="1">
        <v>15</v>
      </c>
      <c r="N54" s="1">
        <v>18</v>
      </c>
      <c r="O54" s="1">
        <v>60</v>
      </c>
      <c r="P54" s="1">
        <f t="shared" si="28"/>
        <v>156</v>
      </c>
      <c r="Q54" s="1">
        <f t="shared" si="29"/>
        <v>78</v>
      </c>
      <c r="R54" s="1"/>
      <c r="S54" s="59">
        <v>25</v>
      </c>
      <c r="T54" s="59">
        <v>48</v>
      </c>
      <c r="U54" s="59">
        <v>21</v>
      </c>
      <c r="V54" s="59">
        <v>19</v>
      </c>
      <c r="W54" s="59">
        <v>73</v>
      </c>
      <c r="X54" s="59">
        <f t="shared" si="30"/>
        <v>186</v>
      </c>
      <c r="Y54" s="59">
        <f t="shared" si="31"/>
        <v>93</v>
      </c>
      <c r="Z54" s="58"/>
      <c r="AA54" s="1">
        <v>25</v>
      </c>
      <c r="AB54" s="1">
        <v>30</v>
      </c>
      <c r="AC54" s="1">
        <v>17</v>
      </c>
      <c r="AD54" s="1">
        <v>20</v>
      </c>
      <c r="AE54" s="1">
        <v>60</v>
      </c>
      <c r="AF54" s="1">
        <f t="shared" si="32"/>
        <v>152</v>
      </c>
      <c r="AG54" s="1">
        <f t="shared" si="33"/>
        <v>76</v>
      </c>
      <c r="AH54" s="10"/>
      <c r="AI54" s="1">
        <v>25</v>
      </c>
      <c r="AJ54" s="1">
        <v>48</v>
      </c>
      <c r="AK54" s="1">
        <v>23</v>
      </c>
      <c r="AL54" s="1">
        <v>19</v>
      </c>
      <c r="AM54" s="1">
        <v>79</v>
      </c>
      <c r="AN54" s="1">
        <f t="shared" si="34"/>
        <v>194</v>
      </c>
      <c r="AO54" s="1">
        <f t="shared" si="35"/>
        <v>97</v>
      </c>
      <c r="AP54" s="10"/>
      <c r="AQ54" s="1">
        <v>12</v>
      </c>
      <c r="AR54" s="1">
        <v>25</v>
      </c>
      <c r="AS54" s="1">
        <v>9</v>
      </c>
      <c r="AT54" s="1">
        <v>35</v>
      </c>
      <c r="AU54" s="1">
        <v>10.5</v>
      </c>
      <c r="AV54" s="1">
        <v>14.5</v>
      </c>
      <c r="AW54" s="1">
        <v>7</v>
      </c>
      <c r="AX54" s="1">
        <v>14</v>
      </c>
      <c r="AY54" s="1">
        <f t="shared" si="23"/>
        <v>23</v>
      </c>
      <c r="AZ54" s="1">
        <f t="shared" si="24"/>
        <v>40</v>
      </c>
      <c r="BA54" s="1">
        <f t="shared" si="25"/>
        <v>16</v>
      </c>
      <c r="BB54" s="1">
        <v>18</v>
      </c>
      <c r="BC54" s="1">
        <f t="shared" si="36"/>
        <v>49</v>
      </c>
      <c r="BD54" s="1">
        <f t="shared" si="37"/>
        <v>146</v>
      </c>
      <c r="BE54" s="1">
        <f t="shared" si="38"/>
        <v>73</v>
      </c>
      <c r="BF54" s="1"/>
      <c r="BG54" s="1"/>
      <c r="BH54" s="1"/>
      <c r="BI54" s="10"/>
      <c r="BJ54" s="10"/>
      <c r="BK54" s="10"/>
      <c r="BL54" s="10"/>
      <c r="BM54" s="10"/>
      <c r="BN54" s="10"/>
      <c r="BO54" s="10" t="s">
        <v>371</v>
      </c>
      <c r="BP54" s="10" t="s">
        <v>372</v>
      </c>
      <c r="BQ54" s="50"/>
      <c r="BR54" s="50">
        <f t="shared" si="15"/>
        <v>495</v>
      </c>
      <c r="BS54" s="51">
        <f t="shared" si="16"/>
        <v>82.5</v>
      </c>
      <c r="BT54" s="52" t="str">
        <f t="shared" si="14"/>
        <v>GRADE I with Distinction</v>
      </c>
      <c r="BU54" s="10"/>
    </row>
    <row r="55" spans="1:73" ht="18" customHeight="1" x14ac:dyDescent="0.25">
      <c r="A55" s="2">
        <v>50</v>
      </c>
      <c r="B55" s="5" t="s">
        <v>177</v>
      </c>
      <c r="C55" s="1">
        <v>14</v>
      </c>
      <c r="D55" s="1">
        <v>32</v>
      </c>
      <c r="E55" s="1">
        <v>19</v>
      </c>
      <c r="F55" s="1">
        <v>18</v>
      </c>
      <c r="G55" s="1">
        <v>60</v>
      </c>
      <c r="H55" s="1">
        <f t="shared" si="26"/>
        <v>143</v>
      </c>
      <c r="I55" s="1">
        <f t="shared" si="27"/>
        <v>72</v>
      </c>
      <c r="J55" s="10"/>
      <c r="K55" s="1">
        <v>15</v>
      </c>
      <c r="L55" s="1">
        <v>38</v>
      </c>
      <c r="M55" s="1">
        <v>18</v>
      </c>
      <c r="N55" s="1">
        <v>17</v>
      </c>
      <c r="O55" s="1">
        <v>43</v>
      </c>
      <c r="P55" s="1">
        <f t="shared" si="28"/>
        <v>131</v>
      </c>
      <c r="Q55" s="1">
        <f t="shared" si="29"/>
        <v>66</v>
      </c>
      <c r="R55" s="1"/>
      <c r="S55" s="59">
        <v>25</v>
      </c>
      <c r="T55" s="59">
        <v>47</v>
      </c>
      <c r="U55" s="59">
        <v>21</v>
      </c>
      <c r="V55" s="59">
        <v>19</v>
      </c>
      <c r="W55" s="59">
        <v>70</v>
      </c>
      <c r="X55" s="59">
        <f t="shared" si="30"/>
        <v>182</v>
      </c>
      <c r="Y55" s="59">
        <f t="shared" si="31"/>
        <v>91</v>
      </c>
      <c r="Z55" s="58"/>
      <c r="AA55" s="1">
        <v>23</v>
      </c>
      <c r="AB55" s="1">
        <v>35</v>
      </c>
      <c r="AC55" s="1">
        <v>18</v>
      </c>
      <c r="AD55" s="1">
        <v>20</v>
      </c>
      <c r="AE55" s="1">
        <v>51</v>
      </c>
      <c r="AF55" s="1">
        <f t="shared" si="32"/>
        <v>147</v>
      </c>
      <c r="AG55" s="1">
        <f t="shared" si="33"/>
        <v>74</v>
      </c>
      <c r="AH55" s="10"/>
      <c r="AI55" s="1">
        <v>20</v>
      </c>
      <c r="AJ55" s="1">
        <v>45</v>
      </c>
      <c r="AK55" s="1">
        <v>13</v>
      </c>
      <c r="AL55" s="1">
        <v>19</v>
      </c>
      <c r="AM55" s="1">
        <v>59</v>
      </c>
      <c r="AN55" s="1">
        <f t="shared" si="34"/>
        <v>156</v>
      </c>
      <c r="AO55" s="1">
        <f t="shared" si="35"/>
        <v>78</v>
      </c>
      <c r="AP55" s="10"/>
      <c r="AQ55" s="1">
        <v>6</v>
      </c>
      <c r="AR55" s="1">
        <v>14.5</v>
      </c>
      <c r="AS55" s="1">
        <v>6</v>
      </c>
      <c r="AT55" s="1">
        <v>24</v>
      </c>
      <c r="AU55" s="1">
        <v>7</v>
      </c>
      <c r="AV55" s="1">
        <v>11</v>
      </c>
      <c r="AW55" s="1">
        <v>7.5</v>
      </c>
      <c r="AX55" s="1">
        <v>27</v>
      </c>
      <c r="AY55" s="1">
        <f t="shared" si="23"/>
        <v>13</v>
      </c>
      <c r="AZ55" s="1">
        <f t="shared" si="24"/>
        <v>26</v>
      </c>
      <c r="BA55" s="1">
        <f t="shared" si="25"/>
        <v>14</v>
      </c>
      <c r="BB55" s="1">
        <v>16</v>
      </c>
      <c r="BC55" s="1">
        <f t="shared" si="36"/>
        <v>51</v>
      </c>
      <c r="BD55" s="1">
        <f t="shared" si="37"/>
        <v>120</v>
      </c>
      <c r="BE55" s="1">
        <f t="shared" si="38"/>
        <v>60</v>
      </c>
      <c r="BF55" s="1"/>
      <c r="BG55" s="1"/>
      <c r="BH55" s="1"/>
      <c r="BI55" s="10"/>
      <c r="BJ55" s="10"/>
      <c r="BK55" s="10"/>
      <c r="BL55" s="10"/>
      <c r="BM55" s="10"/>
      <c r="BN55" s="10"/>
      <c r="BO55" s="10" t="s">
        <v>372</v>
      </c>
      <c r="BP55" s="10" t="s">
        <v>371</v>
      </c>
      <c r="BQ55" s="50"/>
      <c r="BR55" s="50">
        <f t="shared" si="15"/>
        <v>441</v>
      </c>
      <c r="BS55" s="51">
        <f t="shared" si="16"/>
        <v>73.5</v>
      </c>
      <c r="BT55" s="52" t="str">
        <f t="shared" si="14"/>
        <v>GRADE I</v>
      </c>
      <c r="BU55" s="10"/>
    </row>
    <row r="56" spans="1:73" ht="18" customHeight="1" x14ac:dyDescent="0.25">
      <c r="A56" s="2">
        <v>51</v>
      </c>
      <c r="B56" s="5" t="s">
        <v>178</v>
      </c>
      <c r="C56" s="1">
        <v>1</v>
      </c>
      <c r="D56" s="1">
        <v>2</v>
      </c>
      <c r="E56" s="1">
        <v>3</v>
      </c>
      <c r="F56" s="1">
        <v>12</v>
      </c>
      <c r="G56" s="1">
        <v>11</v>
      </c>
      <c r="H56" s="1">
        <f t="shared" si="26"/>
        <v>29</v>
      </c>
      <c r="I56" s="1">
        <f t="shared" si="27"/>
        <v>15</v>
      </c>
      <c r="J56" s="10"/>
      <c r="K56" s="1">
        <v>3</v>
      </c>
      <c r="L56" s="1">
        <v>10</v>
      </c>
      <c r="M56" s="1">
        <v>1</v>
      </c>
      <c r="N56" s="1">
        <v>12</v>
      </c>
      <c r="O56" s="1">
        <v>27</v>
      </c>
      <c r="P56" s="1">
        <f t="shared" si="28"/>
        <v>53</v>
      </c>
      <c r="Q56" s="1">
        <f t="shared" si="29"/>
        <v>27</v>
      </c>
      <c r="R56" s="1"/>
      <c r="S56" s="59">
        <v>3</v>
      </c>
      <c r="T56" s="59">
        <v>11</v>
      </c>
      <c r="U56" s="59">
        <v>1</v>
      </c>
      <c r="V56" s="59">
        <v>6</v>
      </c>
      <c r="W56" s="59">
        <v>10</v>
      </c>
      <c r="X56" s="59">
        <f t="shared" si="30"/>
        <v>31</v>
      </c>
      <c r="Y56" s="59">
        <f t="shared" si="31"/>
        <v>16</v>
      </c>
      <c r="Z56" s="58"/>
      <c r="AA56" s="1">
        <v>2</v>
      </c>
      <c r="AB56" s="1">
        <v>1</v>
      </c>
      <c r="AC56" s="1">
        <v>3</v>
      </c>
      <c r="AD56" s="1">
        <v>10</v>
      </c>
      <c r="AE56" s="1">
        <v>5</v>
      </c>
      <c r="AF56" s="1">
        <f t="shared" si="32"/>
        <v>21</v>
      </c>
      <c r="AG56" s="1">
        <f t="shared" si="33"/>
        <v>11</v>
      </c>
      <c r="AH56" s="10"/>
      <c r="AI56" s="1">
        <v>3</v>
      </c>
      <c r="AJ56" s="1">
        <v>2</v>
      </c>
      <c r="AK56" s="1">
        <v>1</v>
      </c>
      <c r="AL56" s="1">
        <v>7</v>
      </c>
      <c r="AM56" s="1">
        <v>17</v>
      </c>
      <c r="AN56" s="1">
        <f t="shared" si="34"/>
        <v>30</v>
      </c>
      <c r="AO56" s="1">
        <f t="shared" si="35"/>
        <v>15</v>
      </c>
      <c r="AP56" s="10"/>
      <c r="AQ56" s="1">
        <v>1</v>
      </c>
      <c r="AR56" s="1">
        <v>1</v>
      </c>
      <c r="AS56" s="1">
        <v>2</v>
      </c>
      <c r="AT56" s="1">
        <v>6</v>
      </c>
      <c r="AU56" s="1">
        <v>0</v>
      </c>
      <c r="AV56" s="1">
        <v>3</v>
      </c>
      <c r="AW56" s="1">
        <v>0</v>
      </c>
      <c r="AX56" s="1">
        <v>6</v>
      </c>
      <c r="AY56" s="1">
        <f t="shared" si="23"/>
        <v>1</v>
      </c>
      <c r="AZ56" s="1">
        <f t="shared" si="24"/>
        <v>4</v>
      </c>
      <c r="BA56" s="1">
        <f t="shared" si="25"/>
        <v>2</v>
      </c>
      <c r="BB56" s="1">
        <v>4</v>
      </c>
      <c r="BC56" s="1">
        <f t="shared" si="36"/>
        <v>12</v>
      </c>
      <c r="BD56" s="1">
        <f t="shared" si="37"/>
        <v>23</v>
      </c>
      <c r="BE56" s="1">
        <f t="shared" si="38"/>
        <v>12</v>
      </c>
      <c r="BF56" s="1"/>
      <c r="BG56" s="1"/>
      <c r="BH56" s="1"/>
      <c r="BI56" s="10"/>
      <c r="BJ56" s="10"/>
      <c r="BK56" s="10"/>
      <c r="BL56" s="10"/>
      <c r="BM56" s="10"/>
      <c r="BN56" s="10"/>
      <c r="BO56" s="10" t="s">
        <v>372</v>
      </c>
      <c r="BP56" s="10" t="s">
        <v>373</v>
      </c>
      <c r="BQ56" s="50"/>
      <c r="BR56" s="50">
        <f t="shared" si="15"/>
        <v>96</v>
      </c>
      <c r="BS56" s="51">
        <f t="shared" si="16"/>
        <v>16</v>
      </c>
      <c r="BT56" s="52" t="str">
        <f t="shared" si="14"/>
        <v>FAIL</v>
      </c>
      <c r="BU56" s="10"/>
    </row>
    <row r="57" spans="1:73" ht="18" customHeight="1" x14ac:dyDescent="0.25">
      <c r="A57" s="2">
        <v>52</v>
      </c>
      <c r="B57" s="5" t="s">
        <v>179</v>
      </c>
      <c r="C57" s="1">
        <v>9</v>
      </c>
      <c r="D57" s="1">
        <v>22</v>
      </c>
      <c r="E57" s="1">
        <v>10</v>
      </c>
      <c r="F57" s="1">
        <v>16</v>
      </c>
      <c r="G57" s="1">
        <v>51</v>
      </c>
      <c r="H57" s="1">
        <f t="shared" si="26"/>
        <v>108</v>
      </c>
      <c r="I57" s="1">
        <f t="shared" si="27"/>
        <v>54</v>
      </c>
      <c r="J57" s="10"/>
      <c r="K57" s="1">
        <v>14</v>
      </c>
      <c r="L57" s="1">
        <v>41</v>
      </c>
      <c r="M57" s="1">
        <v>21</v>
      </c>
      <c r="N57" s="1">
        <v>18</v>
      </c>
      <c r="O57" s="1">
        <v>27</v>
      </c>
      <c r="P57" s="1">
        <f t="shared" si="28"/>
        <v>121</v>
      </c>
      <c r="Q57" s="1">
        <f t="shared" si="29"/>
        <v>61</v>
      </c>
      <c r="R57" s="1"/>
      <c r="S57" s="59">
        <v>16</v>
      </c>
      <c r="T57" s="59">
        <v>46</v>
      </c>
      <c r="U57" s="59">
        <v>21</v>
      </c>
      <c r="V57" s="59">
        <v>18</v>
      </c>
      <c r="W57" s="59">
        <v>70</v>
      </c>
      <c r="X57" s="59">
        <f t="shared" si="30"/>
        <v>171</v>
      </c>
      <c r="Y57" s="59">
        <f t="shared" si="31"/>
        <v>86</v>
      </c>
      <c r="Z57" s="58"/>
      <c r="AA57" s="1">
        <v>19</v>
      </c>
      <c r="AB57" s="1">
        <v>22</v>
      </c>
      <c r="AC57" s="1">
        <v>15</v>
      </c>
      <c r="AD57" s="1">
        <v>17</v>
      </c>
      <c r="AE57" s="1">
        <v>43</v>
      </c>
      <c r="AF57" s="1">
        <f t="shared" si="32"/>
        <v>116</v>
      </c>
      <c r="AG57" s="1">
        <f t="shared" si="33"/>
        <v>58</v>
      </c>
      <c r="AH57" s="10"/>
      <c r="AI57" s="1">
        <v>17</v>
      </c>
      <c r="AJ57" s="1">
        <v>36</v>
      </c>
      <c r="AK57" s="1">
        <v>18</v>
      </c>
      <c r="AL57" s="1">
        <v>16</v>
      </c>
      <c r="AM57" s="1">
        <v>57</v>
      </c>
      <c r="AN57" s="1">
        <f t="shared" si="34"/>
        <v>144</v>
      </c>
      <c r="AO57" s="1">
        <f t="shared" si="35"/>
        <v>72</v>
      </c>
      <c r="AP57" s="10"/>
      <c r="AQ57" s="1">
        <v>10</v>
      </c>
      <c r="AR57" s="1">
        <v>21</v>
      </c>
      <c r="AS57" s="1">
        <v>8.5</v>
      </c>
      <c r="AT57" s="1">
        <v>31</v>
      </c>
      <c r="AU57" s="1">
        <v>8</v>
      </c>
      <c r="AV57" s="1">
        <v>19</v>
      </c>
      <c r="AW57" s="1">
        <v>6.5</v>
      </c>
      <c r="AX57" s="1">
        <v>25</v>
      </c>
      <c r="AY57" s="1">
        <f t="shared" si="23"/>
        <v>18</v>
      </c>
      <c r="AZ57" s="1">
        <f t="shared" si="24"/>
        <v>40</v>
      </c>
      <c r="BA57" s="1">
        <f t="shared" si="25"/>
        <v>15</v>
      </c>
      <c r="BB57" s="1">
        <v>16</v>
      </c>
      <c r="BC57" s="1">
        <f t="shared" si="36"/>
        <v>56</v>
      </c>
      <c r="BD57" s="1">
        <f t="shared" si="37"/>
        <v>145</v>
      </c>
      <c r="BE57" s="1">
        <f t="shared" si="38"/>
        <v>73</v>
      </c>
      <c r="BF57" s="1"/>
      <c r="BG57" s="1"/>
      <c r="BH57" s="1"/>
      <c r="BI57" s="10"/>
      <c r="BJ57" s="10"/>
      <c r="BK57" s="10"/>
      <c r="BL57" s="10"/>
      <c r="BM57" s="10"/>
      <c r="BN57" s="10"/>
      <c r="BO57" s="10" t="s">
        <v>372</v>
      </c>
      <c r="BP57" s="10" t="s">
        <v>371</v>
      </c>
      <c r="BQ57" s="50"/>
      <c r="BR57" s="50">
        <f t="shared" si="15"/>
        <v>404</v>
      </c>
      <c r="BS57" s="51">
        <f t="shared" si="16"/>
        <v>67.333333333333329</v>
      </c>
      <c r="BT57" s="52" t="str">
        <f t="shared" si="14"/>
        <v>GRADE I</v>
      </c>
      <c r="BU57" s="10"/>
    </row>
    <row r="58" spans="1:73" ht="18" customHeight="1" x14ac:dyDescent="0.25">
      <c r="A58" s="2">
        <v>53</v>
      </c>
      <c r="B58" s="5" t="s">
        <v>180</v>
      </c>
      <c r="C58" s="1">
        <v>16</v>
      </c>
      <c r="D58" s="1">
        <v>34</v>
      </c>
      <c r="E58" s="1">
        <v>17</v>
      </c>
      <c r="F58" s="1">
        <v>17</v>
      </c>
      <c r="G58" s="1">
        <v>60</v>
      </c>
      <c r="H58" s="1">
        <f t="shared" si="26"/>
        <v>144</v>
      </c>
      <c r="I58" s="1">
        <f t="shared" si="27"/>
        <v>72</v>
      </c>
      <c r="J58" s="10"/>
      <c r="K58" s="1">
        <v>21</v>
      </c>
      <c r="L58" s="1">
        <v>41</v>
      </c>
      <c r="M58" s="1">
        <v>20</v>
      </c>
      <c r="N58" s="1">
        <v>17</v>
      </c>
      <c r="O58" s="1">
        <v>51</v>
      </c>
      <c r="P58" s="1">
        <f t="shared" si="28"/>
        <v>150</v>
      </c>
      <c r="Q58" s="1">
        <f t="shared" si="29"/>
        <v>75</v>
      </c>
      <c r="R58" s="1"/>
      <c r="S58" s="59">
        <v>23</v>
      </c>
      <c r="T58" s="59">
        <v>45</v>
      </c>
      <c r="U58" s="59">
        <v>22</v>
      </c>
      <c r="V58" s="59">
        <v>19</v>
      </c>
      <c r="W58" s="59">
        <v>69</v>
      </c>
      <c r="X58" s="59">
        <f t="shared" si="30"/>
        <v>178</v>
      </c>
      <c r="Y58" s="59">
        <f t="shared" si="31"/>
        <v>89</v>
      </c>
      <c r="Z58" s="58"/>
      <c r="AA58" s="1">
        <v>22</v>
      </c>
      <c r="AB58" s="1">
        <v>34</v>
      </c>
      <c r="AC58" s="1">
        <v>23</v>
      </c>
      <c r="AD58" s="1">
        <v>18</v>
      </c>
      <c r="AE58" s="1">
        <v>60</v>
      </c>
      <c r="AF58" s="1">
        <f t="shared" si="32"/>
        <v>157</v>
      </c>
      <c r="AG58" s="1">
        <f t="shared" si="33"/>
        <v>79</v>
      </c>
      <c r="AH58" s="10"/>
      <c r="AI58" s="1">
        <v>25</v>
      </c>
      <c r="AJ58" s="1">
        <v>42</v>
      </c>
      <c r="AK58" s="1">
        <v>21</v>
      </c>
      <c r="AL58" s="1">
        <v>20</v>
      </c>
      <c r="AM58" s="1">
        <v>75</v>
      </c>
      <c r="AN58" s="1">
        <f t="shared" si="34"/>
        <v>183</v>
      </c>
      <c r="AO58" s="1">
        <f t="shared" si="35"/>
        <v>92</v>
      </c>
      <c r="AP58" s="10"/>
      <c r="AQ58" s="1">
        <v>13</v>
      </c>
      <c r="AR58" s="1">
        <v>25</v>
      </c>
      <c r="AS58" s="1">
        <v>7</v>
      </c>
      <c r="AT58" s="1">
        <v>29</v>
      </c>
      <c r="AU58" s="1">
        <v>8.5</v>
      </c>
      <c r="AV58" s="1">
        <v>22</v>
      </c>
      <c r="AW58" s="1">
        <v>7</v>
      </c>
      <c r="AX58" s="1">
        <v>29</v>
      </c>
      <c r="AY58" s="1">
        <f t="shared" si="23"/>
        <v>22</v>
      </c>
      <c r="AZ58" s="1">
        <f t="shared" si="24"/>
        <v>47</v>
      </c>
      <c r="BA58" s="1">
        <f t="shared" si="25"/>
        <v>14</v>
      </c>
      <c r="BB58" s="1">
        <v>20</v>
      </c>
      <c r="BC58" s="1">
        <f t="shared" si="36"/>
        <v>58</v>
      </c>
      <c r="BD58" s="1">
        <f t="shared" si="37"/>
        <v>161</v>
      </c>
      <c r="BE58" s="1">
        <f t="shared" si="38"/>
        <v>81</v>
      </c>
      <c r="BF58" s="1"/>
      <c r="BG58" s="1"/>
      <c r="BH58" s="1"/>
      <c r="BI58" s="10"/>
      <c r="BJ58" s="10"/>
      <c r="BK58" s="10"/>
      <c r="BL58" s="10"/>
      <c r="BM58" s="10"/>
      <c r="BN58" s="10"/>
      <c r="BO58" s="10" t="s">
        <v>372</v>
      </c>
      <c r="BP58" s="10" t="s">
        <v>371</v>
      </c>
      <c r="BQ58" s="50"/>
      <c r="BR58" s="50">
        <f t="shared" si="15"/>
        <v>488</v>
      </c>
      <c r="BS58" s="51">
        <f t="shared" si="16"/>
        <v>81.333333333333329</v>
      </c>
      <c r="BT58" s="52" t="str">
        <f t="shared" si="14"/>
        <v>GRADE I with Distinction</v>
      </c>
      <c r="BU58" s="10"/>
    </row>
    <row r="59" spans="1:73" ht="18" customHeight="1" x14ac:dyDescent="0.25">
      <c r="A59" s="2">
        <v>54</v>
      </c>
      <c r="B59" s="5" t="s">
        <v>181</v>
      </c>
      <c r="C59" s="1">
        <v>8</v>
      </c>
      <c r="D59" s="1">
        <v>23</v>
      </c>
      <c r="E59" s="1">
        <v>11</v>
      </c>
      <c r="F59" s="1">
        <v>11</v>
      </c>
      <c r="G59" s="1">
        <v>44</v>
      </c>
      <c r="H59" s="1">
        <f t="shared" si="26"/>
        <v>97</v>
      </c>
      <c r="I59" s="1">
        <f t="shared" si="27"/>
        <v>49</v>
      </c>
      <c r="J59" s="10"/>
      <c r="K59" s="1">
        <v>15</v>
      </c>
      <c r="L59" s="1">
        <v>33</v>
      </c>
      <c r="M59" s="1">
        <v>9</v>
      </c>
      <c r="N59" s="1">
        <v>18</v>
      </c>
      <c r="O59" s="1">
        <v>64</v>
      </c>
      <c r="P59" s="1">
        <f t="shared" si="28"/>
        <v>139</v>
      </c>
      <c r="Q59" s="1">
        <f t="shared" si="29"/>
        <v>70</v>
      </c>
      <c r="R59" s="1"/>
      <c r="S59" s="59">
        <v>19</v>
      </c>
      <c r="T59" s="59">
        <v>32</v>
      </c>
      <c r="U59" s="59">
        <v>16</v>
      </c>
      <c r="V59" s="59">
        <v>15</v>
      </c>
      <c r="W59" s="59">
        <v>37</v>
      </c>
      <c r="X59" s="59">
        <f t="shared" si="30"/>
        <v>119</v>
      </c>
      <c r="Y59" s="59">
        <f t="shared" si="31"/>
        <v>60</v>
      </c>
      <c r="Z59" s="58"/>
      <c r="AA59" s="1">
        <v>20</v>
      </c>
      <c r="AB59" s="1">
        <v>12</v>
      </c>
      <c r="AC59" s="1">
        <v>11</v>
      </c>
      <c r="AD59" s="1">
        <v>17</v>
      </c>
      <c r="AE59" s="1">
        <v>32</v>
      </c>
      <c r="AF59" s="1">
        <f t="shared" si="32"/>
        <v>92</v>
      </c>
      <c r="AG59" s="1">
        <f t="shared" si="33"/>
        <v>46</v>
      </c>
      <c r="AH59" s="10"/>
      <c r="AI59" s="1">
        <v>10</v>
      </c>
      <c r="AJ59" s="1">
        <v>39</v>
      </c>
      <c r="AK59" s="1">
        <v>15</v>
      </c>
      <c r="AL59" s="1">
        <v>14</v>
      </c>
      <c r="AM59" s="1">
        <v>41</v>
      </c>
      <c r="AN59" s="1">
        <f t="shared" si="34"/>
        <v>119</v>
      </c>
      <c r="AO59" s="1">
        <f t="shared" si="35"/>
        <v>60</v>
      </c>
      <c r="AP59" s="10"/>
      <c r="AQ59" s="1">
        <v>5.5</v>
      </c>
      <c r="AR59" s="1">
        <v>1.5</v>
      </c>
      <c r="AS59" s="1">
        <v>3.5</v>
      </c>
      <c r="AT59" s="1">
        <v>23</v>
      </c>
      <c r="AU59" s="1">
        <v>2</v>
      </c>
      <c r="AV59" s="1">
        <v>6.5</v>
      </c>
      <c r="AW59" s="1">
        <v>3.5</v>
      </c>
      <c r="AX59" s="1">
        <v>15</v>
      </c>
      <c r="AY59" s="1">
        <f t="shared" si="23"/>
        <v>8</v>
      </c>
      <c r="AZ59" s="1">
        <f t="shared" si="24"/>
        <v>8</v>
      </c>
      <c r="BA59" s="1">
        <f t="shared" si="25"/>
        <v>7</v>
      </c>
      <c r="BB59" s="1">
        <v>15</v>
      </c>
      <c r="BC59" s="1">
        <f t="shared" si="36"/>
        <v>38</v>
      </c>
      <c r="BD59" s="1">
        <f t="shared" si="37"/>
        <v>76</v>
      </c>
      <c r="BE59" s="1">
        <f t="shared" si="38"/>
        <v>38</v>
      </c>
      <c r="BF59" s="1"/>
      <c r="BG59" s="1"/>
      <c r="BH59" s="1"/>
      <c r="BI59" s="10"/>
      <c r="BJ59" s="10"/>
      <c r="BK59" s="10"/>
      <c r="BL59" s="10"/>
      <c r="BM59" s="10"/>
      <c r="BN59" s="10"/>
      <c r="BO59" s="10" t="s">
        <v>373</v>
      </c>
      <c r="BP59" s="10" t="s">
        <v>371</v>
      </c>
      <c r="BQ59" s="50"/>
      <c r="BR59" s="50">
        <f t="shared" si="15"/>
        <v>323</v>
      </c>
      <c r="BS59" s="51">
        <f t="shared" si="16"/>
        <v>53.833333333333336</v>
      </c>
      <c r="BT59" s="52" t="str">
        <f t="shared" si="14"/>
        <v>GRADE II</v>
      </c>
      <c r="BU59" s="10"/>
    </row>
    <row r="60" spans="1:73" ht="18" customHeight="1" x14ac:dyDescent="0.25">
      <c r="A60" s="2">
        <v>55</v>
      </c>
      <c r="B60" s="5" t="s">
        <v>182</v>
      </c>
      <c r="C60" s="1">
        <v>15</v>
      </c>
      <c r="D60" s="1">
        <v>36</v>
      </c>
      <c r="E60" s="1">
        <v>17</v>
      </c>
      <c r="F60" s="1">
        <v>16</v>
      </c>
      <c r="G60" s="1">
        <v>56</v>
      </c>
      <c r="H60" s="1">
        <f t="shared" si="26"/>
        <v>140</v>
      </c>
      <c r="I60" s="1">
        <f t="shared" si="27"/>
        <v>70</v>
      </c>
      <c r="J60" s="10"/>
      <c r="K60" s="1">
        <v>18</v>
      </c>
      <c r="L60" s="1">
        <v>46</v>
      </c>
      <c r="M60" s="1">
        <v>20</v>
      </c>
      <c r="N60" s="1">
        <v>18</v>
      </c>
      <c r="O60" s="1">
        <v>53</v>
      </c>
      <c r="P60" s="1">
        <f t="shared" si="28"/>
        <v>155</v>
      </c>
      <c r="Q60" s="1">
        <f t="shared" si="29"/>
        <v>78</v>
      </c>
      <c r="R60" s="1"/>
      <c r="S60" s="59">
        <v>23</v>
      </c>
      <c r="T60" s="59">
        <v>45</v>
      </c>
      <c r="U60" s="59">
        <v>22</v>
      </c>
      <c r="V60" s="59">
        <v>20</v>
      </c>
      <c r="W60" s="59">
        <v>71</v>
      </c>
      <c r="X60" s="59">
        <f t="shared" si="30"/>
        <v>181</v>
      </c>
      <c r="Y60" s="59">
        <f t="shared" si="31"/>
        <v>91</v>
      </c>
      <c r="Z60" s="58"/>
      <c r="AA60" s="1">
        <v>22</v>
      </c>
      <c r="AB60" s="1">
        <v>36</v>
      </c>
      <c r="AC60" s="1">
        <v>23</v>
      </c>
      <c r="AD60" s="1">
        <v>20</v>
      </c>
      <c r="AE60" s="1">
        <v>60</v>
      </c>
      <c r="AF60" s="1">
        <f t="shared" si="32"/>
        <v>161</v>
      </c>
      <c r="AG60" s="1">
        <f t="shared" si="33"/>
        <v>81</v>
      </c>
      <c r="AH60" s="10"/>
      <c r="AI60" s="1">
        <v>22</v>
      </c>
      <c r="AJ60" s="1">
        <v>49</v>
      </c>
      <c r="AK60" s="1">
        <v>24</v>
      </c>
      <c r="AL60" s="1">
        <v>19</v>
      </c>
      <c r="AM60" s="1">
        <v>68</v>
      </c>
      <c r="AN60" s="1">
        <f t="shared" si="34"/>
        <v>182</v>
      </c>
      <c r="AO60" s="1">
        <f t="shared" si="35"/>
        <v>91</v>
      </c>
      <c r="AP60" s="10"/>
      <c r="AQ60" s="1">
        <v>12</v>
      </c>
      <c r="AR60" s="1">
        <v>24.5</v>
      </c>
      <c r="AS60" s="1">
        <v>8</v>
      </c>
      <c r="AT60" s="1">
        <v>34</v>
      </c>
      <c r="AU60" s="1">
        <v>10.5</v>
      </c>
      <c r="AV60" s="1">
        <v>19.5</v>
      </c>
      <c r="AW60" s="1">
        <v>10</v>
      </c>
      <c r="AX60" s="1">
        <v>34</v>
      </c>
      <c r="AY60" s="1">
        <f t="shared" si="23"/>
        <v>23</v>
      </c>
      <c r="AZ60" s="1">
        <f t="shared" si="24"/>
        <v>44</v>
      </c>
      <c r="BA60" s="1">
        <f t="shared" si="25"/>
        <v>18</v>
      </c>
      <c r="BB60" s="1">
        <v>20</v>
      </c>
      <c r="BC60" s="1">
        <f t="shared" si="36"/>
        <v>68</v>
      </c>
      <c r="BD60" s="1">
        <f t="shared" si="37"/>
        <v>173</v>
      </c>
      <c r="BE60" s="1">
        <f t="shared" si="38"/>
        <v>87</v>
      </c>
      <c r="BF60" s="1"/>
      <c r="BG60" s="1"/>
      <c r="BH60" s="1"/>
      <c r="BI60" s="10"/>
      <c r="BJ60" s="10"/>
      <c r="BK60" s="10"/>
      <c r="BL60" s="10"/>
      <c r="BM60" s="10"/>
      <c r="BN60" s="10"/>
      <c r="BO60" s="10" t="s">
        <v>371</v>
      </c>
      <c r="BP60" s="10" t="s">
        <v>371</v>
      </c>
      <c r="BQ60" s="50"/>
      <c r="BR60" s="50">
        <f t="shared" si="15"/>
        <v>498</v>
      </c>
      <c r="BS60" s="51">
        <f t="shared" si="16"/>
        <v>83</v>
      </c>
      <c r="BT60" s="52" t="str">
        <f t="shared" si="14"/>
        <v>GRADE I with Distinction</v>
      </c>
      <c r="BU60" s="10"/>
    </row>
    <row r="61" spans="1:73" ht="18" customHeight="1" x14ac:dyDescent="0.25">
      <c r="A61" s="2">
        <v>56</v>
      </c>
      <c r="B61" s="5" t="s">
        <v>183</v>
      </c>
      <c r="C61" s="1">
        <v>8</v>
      </c>
      <c r="D61" s="1">
        <v>26</v>
      </c>
      <c r="E61" s="1">
        <v>13</v>
      </c>
      <c r="F61" s="1">
        <v>18</v>
      </c>
      <c r="G61" s="1">
        <v>51</v>
      </c>
      <c r="H61" s="1">
        <f t="shared" si="26"/>
        <v>116</v>
      </c>
      <c r="I61" s="1">
        <f t="shared" si="27"/>
        <v>58</v>
      </c>
      <c r="J61" s="10"/>
      <c r="K61" s="1">
        <v>15</v>
      </c>
      <c r="L61" s="1">
        <v>38</v>
      </c>
      <c r="M61" s="1">
        <v>16</v>
      </c>
      <c r="N61" s="1">
        <v>18</v>
      </c>
      <c r="O61" s="1">
        <v>63</v>
      </c>
      <c r="P61" s="1">
        <f t="shared" si="28"/>
        <v>150</v>
      </c>
      <c r="Q61" s="1">
        <f t="shared" si="29"/>
        <v>75</v>
      </c>
      <c r="R61" s="1"/>
      <c r="S61" s="59">
        <v>23</v>
      </c>
      <c r="T61" s="59">
        <v>47</v>
      </c>
      <c r="U61" s="59">
        <v>18</v>
      </c>
      <c r="V61" s="59">
        <v>19</v>
      </c>
      <c r="W61" s="59">
        <v>67</v>
      </c>
      <c r="X61" s="59">
        <f t="shared" si="30"/>
        <v>174</v>
      </c>
      <c r="Y61" s="59">
        <f t="shared" si="31"/>
        <v>87</v>
      </c>
      <c r="Z61" s="58"/>
      <c r="AA61" s="1">
        <v>23</v>
      </c>
      <c r="AB61" s="1">
        <v>37</v>
      </c>
      <c r="AC61" s="1">
        <v>14</v>
      </c>
      <c r="AD61" s="1">
        <v>17</v>
      </c>
      <c r="AE61" s="1">
        <v>53</v>
      </c>
      <c r="AF61" s="1">
        <f t="shared" si="32"/>
        <v>144</v>
      </c>
      <c r="AG61" s="1">
        <f t="shared" si="33"/>
        <v>72</v>
      </c>
      <c r="AH61" s="10"/>
      <c r="AI61" s="1">
        <v>23</v>
      </c>
      <c r="AJ61" s="1">
        <v>44</v>
      </c>
      <c r="AK61" s="1">
        <v>13</v>
      </c>
      <c r="AL61" s="1">
        <v>18</v>
      </c>
      <c r="AM61" s="1">
        <v>61</v>
      </c>
      <c r="AN61" s="1">
        <f t="shared" si="34"/>
        <v>159</v>
      </c>
      <c r="AO61" s="1">
        <f t="shared" si="35"/>
        <v>80</v>
      </c>
      <c r="AP61" s="10"/>
      <c r="AQ61" s="1">
        <v>11</v>
      </c>
      <c r="AR61" s="1">
        <v>20</v>
      </c>
      <c r="AS61" s="1">
        <v>8.5</v>
      </c>
      <c r="AT61" s="1">
        <v>27</v>
      </c>
      <c r="AU61" s="1">
        <v>10.5</v>
      </c>
      <c r="AV61" s="1">
        <v>20</v>
      </c>
      <c r="AW61" s="1">
        <v>6.5</v>
      </c>
      <c r="AX61" s="1">
        <v>32</v>
      </c>
      <c r="AY61" s="1">
        <f t="shared" si="23"/>
        <v>22</v>
      </c>
      <c r="AZ61" s="1">
        <f t="shared" si="24"/>
        <v>40</v>
      </c>
      <c r="BA61" s="1">
        <f t="shared" si="25"/>
        <v>15</v>
      </c>
      <c r="BB61" s="1">
        <v>15</v>
      </c>
      <c r="BC61" s="1">
        <f t="shared" si="36"/>
        <v>59</v>
      </c>
      <c r="BD61" s="1">
        <f t="shared" si="37"/>
        <v>151</v>
      </c>
      <c r="BE61" s="1">
        <f t="shared" si="38"/>
        <v>76</v>
      </c>
      <c r="BF61" s="1"/>
      <c r="BG61" s="1"/>
      <c r="BH61" s="1"/>
      <c r="BI61" s="10"/>
      <c r="BJ61" s="10"/>
      <c r="BK61" s="10"/>
      <c r="BL61" s="10"/>
      <c r="BM61" s="10"/>
      <c r="BN61" s="10"/>
      <c r="BO61" s="10" t="s">
        <v>371</v>
      </c>
      <c r="BP61" s="10" t="s">
        <v>371</v>
      </c>
      <c r="BQ61" s="50"/>
      <c r="BR61" s="50">
        <f t="shared" si="15"/>
        <v>448</v>
      </c>
      <c r="BS61" s="51">
        <f t="shared" si="16"/>
        <v>74.666666666666671</v>
      </c>
      <c r="BT61" s="52" t="str">
        <f t="shared" si="14"/>
        <v>GRADE I</v>
      </c>
      <c r="BU61" s="10"/>
    </row>
    <row r="62" spans="1:73" ht="18" customHeight="1" x14ac:dyDescent="0.25">
      <c r="A62" s="2">
        <v>57</v>
      </c>
      <c r="B62" s="5" t="s">
        <v>184</v>
      </c>
      <c r="C62" s="1">
        <v>10</v>
      </c>
      <c r="D62" s="1">
        <v>29</v>
      </c>
      <c r="E62" s="1">
        <v>15</v>
      </c>
      <c r="F62" s="1">
        <v>12</v>
      </c>
      <c r="G62" s="1">
        <v>51</v>
      </c>
      <c r="H62" s="1">
        <f t="shared" si="26"/>
        <v>117</v>
      </c>
      <c r="I62" s="1">
        <f t="shared" si="27"/>
        <v>59</v>
      </c>
      <c r="J62" s="10"/>
      <c r="K62" s="1">
        <v>10</v>
      </c>
      <c r="L62" s="1">
        <v>35</v>
      </c>
      <c r="M62" s="1">
        <v>15</v>
      </c>
      <c r="N62" s="1">
        <v>18</v>
      </c>
      <c r="O62" s="1">
        <v>49</v>
      </c>
      <c r="P62" s="1">
        <f t="shared" si="28"/>
        <v>127</v>
      </c>
      <c r="Q62" s="1">
        <f t="shared" si="29"/>
        <v>64</v>
      </c>
      <c r="R62" s="1"/>
      <c r="S62" s="59">
        <v>22</v>
      </c>
      <c r="T62" s="59">
        <v>39</v>
      </c>
      <c r="U62" s="59">
        <v>19</v>
      </c>
      <c r="V62" s="59">
        <v>19</v>
      </c>
      <c r="W62" s="59">
        <v>62</v>
      </c>
      <c r="X62" s="59">
        <f t="shared" si="30"/>
        <v>161</v>
      </c>
      <c r="Y62" s="59">
        <f t="shared" si="31"/>
        <v>81</v>
      </c>
      <c r="Z62" s="58"/>
      <c r="AA62" s="1">
        <v>23</v>
      </c>
      <c r="AB62" s="1">
        <v>14</v>
      </c>
      <c r="AC62" s="1">
        <v>13</v>
      </c>
      <c r="AD62" s="1">
        <v>19</v>
      </c>
      <c r="AE62" s="1">
        <v>46</v>
      </c>
      <c r="AF62" s="1">
        <f t="shared" si="32"/>
        <v>115</v>
      </c>
      <c r="AG62" s="1">
        <f t="shared" si="33"/>
        <v>58</v>
      </c>
      <c r="AH62" s="10"/>
      <c r="AI62" s="1">
        <v>14</v>
      </c>
      <c r="AJ62" s="1">
        <v>42</v>
      </c>
      <c r="AK62" s="1">
        <v>12</v>
      </c>
      <c r="AL62" s="1">
        <v>18</v>
      </c>
      <c r="AM62" s="1">
        <v>65</v>
      </c>
      <c r="AN62" s="1">
        <f t="shared" si="34"/>
        <v>151</v>
      </c>
      <c r="AO62" s="1">
        <f t="shared" si="35"/>
        <v>76</v>
      </c>
      <c r="AP62" s="10"/>
      <c r="AQ62" s="1">
        <v>7</v>
      </c>
      <c r="AR62" s="1">
        <v>17.5</v>
      </c>
      <c r="AS62" s="1">
        <v>3</v>
      </c>
      <c r="AT62" s="1">
        <v>30</v>
      </c>
      <c r="AU62" s="1">
        <v>9</v>
      </c>
      <c r="AV62" s="1">
        <v>12.5</v>
      </c>
      <c r="AW62" s="1">
        <v>4.5</v>
      </c>
      <c r="AX62" s="1">
        <v>28</v>
      </c>
      <c r="AY62" s="1">
        <f t="shared" si="23"/>
        <v>16</v>
      </c>
      <c r="AZ62" s="1">
        <f t="shared" si="24"/>
        <v>30</v>
      </c>
      <c r="BA62" s="1">
        <f t="shared" si="25"/>
        <v>8</v>
      </c>
      <c r="BB62" s="1">
        <v>15</v>
      </c>
      <c r="BC62" s="1">
        <f t="shared" si="36"/>
        <v>58</v>
      </c>
      <c r="BD62" s="1">
        <f t="shared" si="37"/>
        <v>127</v>
      </c>
      <c r="BE62" s="1">
        <f t="shared" si="38"/>
        <v>64</v>
      </c>
      <c r="BF62" s="1"/>
      <c r="BG62" s="1"/>
      <c r="BH62" s="1"/>
      <c r="BI62" s="10"/>
      <c r="BJ62" s="10"/>
      <c r="BK62" s="10"/>
      <c r="BL62" s="10"/>
      <c r="BM62" s="10"/>
      <c r="BN62" s="10"/>
      <c r="BO62" s="10" t="s">
        <v>371</v>
      </c>
      <c r="BP62" s="10" t="s">
        <v>371</v>
      </c>
      <c r="BQ62" s="50"/>
      <c r="BR62" s="50">
        <f t="shared" si="15"/>
        <v>402</v>
      </c>
      <c r="BS62" s="51">
        <f t="shared" si="16"/>
        <v>67</v>
      </c>
      <c r="BT62" s="52" t="str">
        <f t="shared" si="14"/>
        <v>GRADE I</v>
      </c>
      <c r="BU62" s="10"/>
    </row>
    <row r="63" spans="1:73" s="111" customFormat="1" ht="18" customHeight="1" x14ac:dyDescent="0.25">
      <c r="A63" s="103">
        <v>58</v>
      </c>
      <c r="B63" s="104" t="s">
        <v>185</v>
      </c>
      <c r="C63" s="97">
        <v>9</v>
      </c>
      <c r="D63" s="97">
        <v>20</v>
      </c>
      <c r="E63" s="97">
        <v>11</v>
      </c>
      <c r="F63" s="97">
        <v>13</v>
      </c>
      <c r="G63" s="97">
        <v>37</v>
      </c>
      <c r="H63" s="97">
        <f t="shared" si="26"/>
        <v>90</v>
      </c>
      <c r="I63" s="97">
        <f t="shared" si="27"/>
        <v>45</v>
      </c>
      <c r="J63" s="105"/>
      <c r="K63" s="97">
        <v>14</v>
      </c>
      <c r="L63" s="97">
        <v>36</v>
      </c>
      <c r="M63" s="97">
        <v>14</v>
      </c>
      <c r="N63" s="97">
        <v>18</v>
      </c>
      <c r="O63" s="97">
        <v>59</v>
      </c>
      <c r="P63" s="97">
        <f t="shared" si="28"/>
        <v>141</v>
      </c>
      <c r="Q63" s="97">
        <f t="shared" si="29"/>
        <v>71</v>
      </c>
      <c r="R63" s="97"/>
      <c r="S63" s="106">
        <v>22</v>
      </c>
      <c r="T63" s="106">
        <v>42</v>
      </c>
      <c r="U63" s="106">
        <v>15</v>
      </c>
      <c r="V63" s="106">
        <v>20</v>
      </c>
      <c r="W63" s="106">
        <v>41</v>
      </c>
      <c r="X63" s="106">
        <f t="shared" si="30"/>
        <v>140</v>
      </c>
      <c r="Y63" s="106">
        <f t="shared" si="31"/>
        <v>70</v>
      </c>
      <c r="Z63" s="107"/>
      <c r="AA63" s="97">
        <v>18</v>
      </c>
      <c r="AB63" s="97">
        <v>24</v>
      </c>
      <c r="AC63" s="97">
        <v>17</v>
      </c>
      <c r="AD63" s="97">
        <v>17</v>
      </c>
      <c r="AE63" s="97">
        <v>36</v>
      </c>
      <c r="AF63" s="97">
        <f t="shared" si="32"/>
        <v>112</v>
      </c>
      <c r="AG63" s="97">
        <f t="shared" si="33"/>
        <v>56</v>
      </c>
      <c r="AH63" s="105"/>
      <c r="AI63" s="97">
        <v>11</v>
      </c>
      <c r="AJ63" s="97">
        <v>34</v>
      </c>
      <c r="AK63" s="97">
        <v>10</v>
      </c>
      <c r="AL63" s="97">
        <v>18</v>
      </c>
      <c r="AM63" s="97">
        <v>44</v>
      </c>
      <c r="AN63" s="97">
        <f t="shared" si="34"/>
        <v>117</v>
      </c>
      <c r="AO63" s="97">
        <f t="shared" si="35"/>
        <v>59</v>
      </c>
      <c r="AP63" s="105"/>
      <c r="AQ63" s="97">
        <v>10</v>
      </c>
      <c r="AR63" s="97">
        <v>17</v>
      </c>
      <c r="AS63" s="97">
        <v>1</v>
      </c>
      <c r="AT63" s="97">
        <v>15</v>
      </c>
      <c r="AU63" s="97">
        <v>5.5</v>
      </c>
      <c r="AV63" s="97">
        <v>14</v>
      </c>
      <c r="AW63" s="97">
        <v>6</v>
      </c>
      <c r="AX63" s="97">
        <v>26</v>
      </c>
      <c r="AY63" s="97">
        <f t="shared" si="23"/>
        <v>16</v>
      </c>
      <c r="AZ63" s="97">
        <f t="shared" si="24"/>
        <v>31</v>
      </c>
      <c r="BA63" s="97">
        <f t="shared" ref="BA63:BA94" si="40">ROUND(AS63+AW63,0)</f>
        <v>7</v>
      </c>
      <c r="BB63" s="97">
        <v>18</v>
      </c>
      <c r="BC63" s="97">
        <f t="shared" si="36"/>
        <v>41</v>
      </c>
      <c r="BD63" s="97">
        <f t="shared" si="37"/>
        <v>113</v>
      </c>
      <c r="BE63" s="97">
        <f t="shared" si="38"/>
        <v>57</v>
      </c>
      <c r="BF63" s="97"/>
      <c r="BG63" s="97"/>
      <c r="BH63" s="97"/>
      <c r="BI63" s="105"/>
      <c r="BJ63" s="105"/>
      <c r="BK63" s="105"/>
      <c r="BL63" s="105"/>
      <c r="BM63" s="105"/>
      <c r="BN63" s="105"/>
      <c r="BO63" s="105" t="s">
        <v>371</v>
      </c>
      <c r="BP63" s="105" t="s">
        <v>371</v>
      </c>
      <c r="BQ63" s="108"/>
      <c r="BR63" s="108" t="s">
        <v>393</v>
      </c>
      <c r="BS63" s="109">
        <v>60</v>
      </c>
      <c r="BT63" s="110" t="str">
        <f t="shared" si="14"/>
        <v>GRADE I</v>
      </c>
      <c r="BU63" s="105"/>
    </row>
    <row r="64" spans="1:73" ht="18" customHeight="1" x14ac:dyDescent="0.25">
      <c r="A64" s="2">
        <v>59</v>
      </c>
      <c r="B64" s="5" t="s">
        <v>186</v>
      </c>
      <c r="C64" s="1">
        <v>10</v>
      </c>
      <c r="D64" s="1">
        <v>23</v>
      </c>
      <c r="E64" s="1">
        <v>16</v>
      </c>
      <c r="F64" s="1">
        <v>13</v>
      </c>
      <c r="G64" s="1">
        <v>44</v>
      </c>
      <c r="H64" s="1">
        <f t="shared" si="26"/>
        <v>106</v>
      </c>
      <c r="I64" s="1">
        <f t="shared" si="27"/>
        <v>53</v>
      </c>
      <c r="J64" s="10"/>
      <c r="K64" s="1">
        <v>11</v>
      </c>
      <c r="L64" s="1">
        <v>35</v>
      </c>
      <c r="M64" s="1">
        <v>7</v>
      </c>
      <c r="N64" s="1">
        <v>19</v>
      </c>
      <c r="O64" s="1">
        <v>54</v>
      </c>
      <c r="P64" s="1">
        <f t="shared" si="28"/>
        <v>126</v>
      </c>
      <c r="Q64" s="1">
        <f t="shared" si="29"/>
        <v>63</v>
      </c>
      <c r="R64" s="1"/>
      <c r="S64" s="59">
        <v>16</v>
      </c>
      <c r="T64" s="59">
        <v>28</v>
      </c>
      <c r="U64" s="59">
        <v>11</v>
      </c>
      <c r="V64" s="59">
        <v>11</v>
      </c>
      <c r="W64" s="59">
        <v>35</v>
      </c>
      <c r="X64" s="59">
        <f t="shared" si="30"/>
        <v>101</v>
      </c>
      <c r="Y64" s="59">
        <f t="shared" si="31"/>
        <v>51</v>
      </c>
      <c r="Z64" s="58"/>
      <c r="AA64" s="1">
        <v>12</v>
      </c>
      <c r="AB64" s="1">
        <v>8</v>
      </c>
      <c r="AC64" s="1">
        <v>0</v>
      </c>
      <c r="AD64" s="1">
        <v>12</v>
      </c>
      <c r="AE64" s="1">
        <v>43</v>
      </c>
      <c r="AF64" s="1">
        <f t="shared" si="32"/>
        <v>75</v>
      </c>
      <c r="AG64" s="1">
        <f t="shared" si="33"/>
        <v>38</v>
      </c>
      <c r="AH64" s="10"/>
      <c r="AI64" s="1">
        <v>14</v>
      </c>
      <c r="AJ64" s="1">
        <v>26</v>
      </c>
      <c r="AK64" s="1">
        <v>9</v>
      </c>
      <c r="AL64" s="1">
        <v>14</v>
      </c>
      <c r="AM64" s="1">
        <v>47</v>
      </c>
      <c r="AN64" s="1">
        <f t="shared" si="34"/>
        <v>110</v>
      </c>
      <c r="AO64" s="1">
        <f t="shared" si="35"/>
        <v>55</v>
      </c>
      <c r="AP64" s="10"/>
      <c r="AQ64" s="1">
        <v>10</v>
      </c>
      <c r="AR64" s="1">
        <v>6</v>
      </c>
      <c r="AS64" s="1">
        <v>2</v>
      </c>
      <c r="AT64" s="1">
        <v>13</v>
      </c>
      <c r="AU64" s="1">
        <v>5</v>
      </c>
      <c r="AV64" s="1">
        <v>11</v>
      </c>
      <c r="AW64" s="1">
        <v>3</v>
      </c>
      <c r="AX64" s="1">
        <v>15</v>
      </c>
      <c r="AY64" s="1">
        <f t="shared" si="23"/>
        <v>15</v>
      </c>
      <c r="AZ64" s="1">
        <f t="shared" si="24"/>
        <v>17</v>
      </c>
      <c r="BA64" s="1">
        <f t="shared" si="40"/>
        <v>5</v>
      </c>
      <c r="BB64" s="1">
        <v>11</v>
      </c>
      <c r="BC64" s="1">
        <f t="shared" si="36"/>
        <v>28</v>
      </c>
      <c r="BD64" s="1">
        <f t="shared" si="37"/>
        <v>76</v>
      </c>
      <c r="BE64" s="1">
        <f t="shared" si="38"/>
        <v>38</v>
      </c>
      <c r="BF64" s="1"/>
      <c r="BG64" s="1"/>
      <c r="BH64" s="1"/>
      <c r="BI64" s="10"/>
      <c r="BJ64" s="10"/>
      <c r="BK64" s="10"/>
      <c r="BL64" s="10"/>
      <c r="BM64" s="10"/>
      <c r="BN64" s="10"/>
      <c r="BO64" s="10" t="s">
        <v>371</v>
      </c>
      <c r="BP64" s="10" t="s">
        <v>372</v>
      </c>
      <c r="BQ64" s="50"/>
      <c r="BR64" s="50">
        <f t="shared" si="15"/>
        <v>298</v>
      </c>
      <c r="BS64" s="51">
        <f t="shared" si="16"/>
        <v>49.666666666666664</v>
      </c>
      <c r="BT64" s="52" t="str">
        <f t="shared" si="14"/>
        <v>GRADE II</v>
      </c>
      <c r="BU64" s="10"/>
    </row>
    <row r="65" spans="1:73" ht="18" customHeight="1" x14ac:dyDescent="0.25">
      <c r="A65" s="2">
        <v>60</v>
      </c>
      <c r="B65" s="6" t="s">
        <v>187</v>
      </c>
      <c r="C65" s="23">
        <v>13</v>
      </c>
      <c r="D65" s="1">
        <v>37</v>
      </c>
      <c r="E65" s="1">
        <v>17</v>
      </c>
      <c r="F65" s="1">
        <v>16</v>
      </c>
      <c r="G65" s="1">
        <v>58</v>
      </c>
      <c r="H65" s="1">
        <f t="shared" si="26"/>
        <v>141</v>
      </c>
      <c r="I65" s="1">
        <f t="shared" si="27"/>
        <v>71</v>
      </c>
      <c r="J65" s="10"/>
      <c r="K65" s="1">
        <v>19</v>
      </c>
      <c r="L65" s="1">
        <v>50</v>
      </c>
      <c r="M65" s="1">
        <v>22</v>
      </c>
      <c r="N65" s="1">
        <v>20</v>
      </c>
      <c r="O65" s="1">
        <v>78</v>
      </c>
      <c r="P65" s="1">
        <f t="shared" si="28"/>
        <v>189</v>
      </c>
      <c r="Q65" s="1">
        <f t="shared" si="29"/>
        <v>95</v>
      </c>
      <c r="R65" s="1"/>
      <c r="S65" s="59">
        <v>24</v>
      </c>
      <c r="T65" s="59">
        <v>47</v>
      </c>
      <c r="U65" s="59">
        <v>22</v>
      </c>
      <c r="V65" s="59">
        <v>19</v>
      </c>
      <c r="W65" s="59">
        <v>71</v>
      </c>
      <c r="X65" s="59">
        <f t="shared" si="30"/>
        <v>183</v>
      </c>
      <c r="Y65" s="59">
        <f t="shared" si="31"/>
        <v>92</v>
      </c>
      <c r="Z65" s="58"/>
      <c r="AA65" s="1">
        <v>24</v>
      </c>
      <c r="AB65" s="1">
        <v>48</v>
      </c>
      <c r="AC65" s="1">
        <v>25</v>
      </c>
      <c r="AD65" s="1">
        <v>19</v>
      </c>
      <c r="AE65" s="1">
        <v>77</v>
      </c>
      <c r="AF65" s="1">
        <f t="shared" si="32"/>
        <v>193</v>
      </c>
      <c r="AG65" s="1">
        <f t="shared" si="33"/>
        <v>97</v>
      </c>
      <c r="AH65" s="10"/>
      <c r="AI65" s="1">
        <v>23</v>
      </c>
      <c r="AJ65" s="1">
        <v>49</v>
      </c>
      <c r="AK65" s="1">
        <v>25</v>
      </c>
      <c r="AL65" s="1">
        <v>20</v>
      </c>
      <c r="AM65" s="1">
        <v>78</v>
      </c>
      <c r="AN65" s="1">
        <f t="shared" si="34"/>
        <v>195</v>
      </c>
      <c r="AO65" s="1">
        <f t="shared" si="35"/>
        <v>98</v>
      </c>
      <c r="AP65" s="10"/>
      <c r="AQ65" s="1">
        <v>12</v>
      </c>
      <c r="AR65" s="1">
        <v>24</v>
      </c>
      <c r="AS65" s="1">
        <v>12</v>
      </c>
      <c r="AT65" s="1">
        <v>35</v>
      </c>
      <c r="AU65" s="76">
        <v>11</v>
      </c>
      <c r="AV65" s="1">
        <v>22</v>
      </c>
      <c r="AW65" s="1">
        <v>13</v>
      </c>
      <c r="AX65" s="1">
        <v>37</v>
      </c>
      <c r="AY65" s="1">
        <f t="shared" si="23"/>
        <v>23</v>
      </c>
      <c r="AZ65" s="1">
        <f t="shared" ref="AZ65:AZ104" si="41">ROUND(AR65+AV65,0)</f>
        <v>46</v>
      </c>
      <c r="BA65" s="1">
        <f t="shared" si="40"/>
        <v>25</v>
      </c>
      <c r="BB65" s="1">
        <v>20</v>
      </c>
      <c r="BC65" s="1">
        <f t="shared" si="36"/>
        <v>72</v>
      </c>
      <c r="BD65" s="1">
        <f t="shared" si="37"/>
        <v>186</v>
      </c>
      <c r="BE65" s="1">
        <f t="shared" si="38"/>
        <v>93</v>
      </c>
      <c r="BF65" s="1"/>
      <c r="BG65" s="1"/>
      <c r="BH65" s="1"/>
      <c r="BI65" s="10"/>
      <c r="BJ65" s="10"/>
      <c r="BK65" s="10"/>
      <c r="BL65" s="10"/>
      <c r="BM65" s="10"/>
      <c r="BN65" s="10"/>
      <c r="BO65" s="10" t="s">
        <v>371</v>
      </c>
      <c r="BP65" s="10" t="s">
        <v>371</v>
      </c>
      <c r="BQ65" s="50"/>
      <c r="BR65" s="50">
        <f t="shared" si="15"/>
        <v>546</v>
      </c>
      <c r="BS65" s="51">
        <f t="shared" si="16"/>
        <v>91</v>
      </c>
      <c r="BT65" s="52" t="str">
        <f t="shared" si="14"/>
        <v>GRADE I with Distinction</v>
      </c>
      <c r="BU65" s="10"/>
    </row>
    <row r="66" spans="1:73" ht="18" customHeight="1" x14ac:dyDescent="0.25">
      <c r="A66" s="2">
        <v>61</v>
      </c>
      <c r="B66" s="5" t="s">
        <v>188</v>
      </c>
      <c r="C66" s="1">
        <v>13</v>
      </c>
      <c r="D66" s="1">
        <v>35</v>
      </c>
      <c r="E66" s="1">
        <v>18</v>
      </c>
      <c r="F66" s="1">
        <v>16</v>
      </c>
      <c r="G66" s="1">
        <v>57</v>
      </c>
      <c r="H66" s="1">
        <f t="shared" si="26"/>
        <v>139</v>
      </c>
      <c r="I66" s="1">
        <f t="shared" si="27"/>
        <v>70</v>
      </c>
      <c r="J66" s="10"/>
      <c r="K66" s="1">
        <v>23</v>
      </c>
      <c r="L66" s="1">
        <v>42</v>
      </c>
      <c r="M66" s="1">
        <v>18</v>
      </c>
      <c r="N66" s="1">
        <v>17</v>
      </c>
      <c r="O66" s="1">
        <v>66</v>
      </c>
      <c r="P66" s="1">
        <f t="shared" si="28"/>
        <v>166</v>
      </c>
      <c r="Q66" s="1">
        <f t="shared" si="29"/>
        <v>83</v>
      </c>
      <c r="R66" s="1"/>
      <c r="S66" s="59">
        <v>25</v>
      </c>
      <c r="T66" s="59">
        <v>44</v>
      </c>
      <c r="U66" s="59">
        <v>22</v>
      </c>
      <c r="V66" s="59">
        <v>20</v>
      </c>
      <c r="W66" s="59">
        <v>71</v>
      </c>
      <c r="X66" s="59">
        <f t="shared" si="30"/>
        <v>182</v>
      </c>
      <c r="Y66" s="59">
        <f t="shared" si="31"/>
        <v>91</v>
      </c>
      <c r="Z66" s="58"/>
      <c r="AA66" s="1">
        <v>24</v>
      </c>
      <c r="AB66" s="1">
        <v>37</v>
      </c>
      <c r="AC66" s="1">
        <v>18</v>
      </c>
      <c r="AD66" s="1">
        <v>17</v>
      </c>
      <c r="AE66" s="1">
        <v>63</v>
      </c>
      <c r="AF66" s="1">
        <f t="shared" si="32"/>
        <v>159</v>
      </c>
      <c r="AG66" s="1">
        <f t="shared" si="33"/>
        <v>80</v>
      </c>
      <c r="AH66" s="10"/>
      <c r="AI66" s="1">
        <v>25</v>
      </c>
      <c r="AJ66" s="1">
        <v>49</v>
      </c>
      <c r="AK66" s="1">
        <v>23</v>
      </c>
      <c r="AL66" s="1">
        <v>19</v>
      </c>
      <c r="AM66" s="1">
        <v>77</v>
      </c>
      <c r="AN66" s="1">
        <f t="shared" si="34"/>
        <v>193</v>
      </c>
      <c r="AO66" s="1">
        <f t="shared" si="35"/>
        <v>97</v>
      </c>
      <c r="AP66" s="10"/>
      <c r="AQ66" s="1">
        <v>10</v>
      </c>
      <c r="AR66" s="1">
        <v>25</v>
      </c>
      <c r="AS66" s="1">
        <v>9.5</v>
      </c>
      <c r="AT66" s="1">
        <v>33</v>
      </c>
      <c r="AU66" s="1">
        <v>12</v>
      </c>
      <c r="AV66" s="1">
        <v>23</v>
      </c>
      <c r="AW66" s="1">
        <v>8</v>
      </c>
      <c r="AX66" s="1">
        <v>33</v>
      </c>
      <c r="AY66" s="1">
        <f t="shared" ref="AY66:AY94" si="42">ROUND(AQ66+AU66,0)</f>
        <v>22</v>
      </c>
      <c r="AZ66" s="1">
        <f t="shared" si="41"/>
        <v>48</v>
      </c>
      <c r="BA66" s="1">
        <f t="shared" si="40"/>
        <v>18</v>
      </c>
      <c r="BB66" s="1">
        <v>20</v>
      </c>
      <c r="BC66" s="1">
        <f t="shared" si="36"/>
        <v>66</v>
      </c>
      <c r="BD66" s="1">
        <f t="shared" si="37"/>
        <v>174</v>
      </c>
      <c r="BE66" s="1">
        <f t="shared" si="38"/>
        <v>87</v>
      </c>
      <c r="BF66" s="1"/>
      <c r="BG66" s="1"/>
      <c r="BH66" s="1"/>
      <c r="BI66" s="10"/>
      <c r="BJ66" s="10"/>
      <c r="BK66" s="10"/>
      <c r="BL66" s="10"/>
      <c r="BM66" s="10"/>
      <c r="BN66" s="10"/>
      <c r="BO66" s="10" t="s">
        <v>371</v>
      </c>
      <c r="BP66" s="10" t="s">
        <v>371</v>
      </c>
      <c r="BQ66" s="50"/>
      <c r="BR66" s="50">
        <f t="shared" si="15"/>
        <v>508</v>
      </c>
      <c r="BS66" s="51">
        <f t="shared" si="16"/>
        <v>84.666666666666671</v>
      </c>
      <c r="BT66" s="52" t="str">
        <f t="shared" si="14"/>
        <v>GRADE I with Distinction</v>
      </c>
      <c r="BU66" s="10"/>
    </row>
    <row r="67" spans="1:73" ht="18" customHeight="1" x14ac:dyDescent="0.25">
      <c r="A67" s="2">
        <v>62</v>
      </c>
      <c r="B67" s="53" t="s">
        <v>189</v>
      </c>
      <c r="C67" s="1">
        <v>10</v>
      </c>
      <c r="D67" s="1">
        <v>20</v>
      </c>
      <c r="E67" s="1">
        <v>11</v>
      </c>
      <c r="F67" s="1">
        <v>12</v>
      </c>
      <c r="G67" s="1">
        <v>36</v>
      </c>
      <c r="H67" s="1">
        <f t="shared" si="26"/>
        <v>89</v>
      </c>
      <c r="I67" s="1">
        <f t="shared" si="27"/>
        <v>45</v>
      </c>
      <c r="J67" s="10"/>
      <c r="K67" s="1">
        <v>7</v>
      </c>
      <c r="L67" s="1">
        <v>26</v>
      </c>
      <c r="M67" s="1">
        <v>6</v>
      </c>
      <c r="N67" s="1">
        <v>8</v>
      </c>
      <c r="O67" s="1">
        <v>18</v>
      </c>
      <c r="P67" s="1">
        <f t="shared" si="28"/>
        <v>65</v>
      </c>
      <c r="Q67" s="1">
        <f t="shared" si="29"/>
        <v>33</v>
      </c>
      <c r="R67" s="1">
        <v>2</v>
      </c>
      <c r="S67" s="59">
        <v>18</v>
      </c>
      <c r="T67" s="59">
        <v>28</v>
      </c>
      <c r="U67" s="59">
        <v>7</v>
      </c>
      <c r="V67" s="59">
        <v>16</v>
      </c>
      <c r="W67" s="59">
        <v>46</v>
      </c>
      <c r="X67" s="59">
        <f t="shared" si="30"/>
        <v>115</v>
      </c>
      <c r="Y67" s="59">
        <f t="shared" si="31"/>
        <v>58</v>
      </c>
      <c r="Z67" s="58"/>
      <c r="AA67" s="1">
        <v>18</v>
      </c>
      <c r="AB67" s="1">
        <v>8</v>
      </c>
      <c r="AC67" s="1">
        <v>7</v>
      </c>
      <c r="AD67" s="1">
        <v>10</v>
      </c>
      <c r="AE67" s="1">
        <v>21</v>
      </c>
      <c r="AF67" s="1">
        <f t="shared" si="32"/>
        <v>64</v>
      </c>
      <c r="AG67" s="1">
        <f t="shared" si="33"/>
        <v>32</v>
      </c>
      <c r="AH67" s="10">
        <v>3</v>
      </c>
      <c r="AI67" s="1">
        <v>12</v>
      </c>
      <c r="AJ67" s="1">
        <v>20</v>
      </c>
      <c r="AK67" s="1">
        <v>9</v>
      </c>
      <c r="AL67" s="1">
        <v>16</v>
      </c>
      <c r="AM67" s="1">
        <v>31</v>
      </c>
      <c r="AN67" s="1">
        <f t="shared" si="34"/>
        <v>88</v>
      </c>
      <c r="AO67" s="1">
        <f t="shared" si="35"/>
        <v>44</v>
      </c>
      <c r="AP67" s="10"/>
      <c r="AQ67" s="1">
        <v>4</v>
      </c>
      <c r="AR67" s="1">
        <v>3</v>
      </c>
      <c r="AS67" s="1">
        <v>1</v>
      </c>
      <c r="AT67" s="1">
        <v>9</v>
      </c>
      <c r="AU67" s="1">
        <v>1</v>
      </c>
      <c r="AV67" s="1">
        <v>5</v>
      </c>
      <c r="AW67" s="1">
        <v>3</v>
      </c>
      <c r="AX67" s="1">
        <v>16</v>
      </c>
      <c r="AY67" s="1">
        <f t="shared" si="42"/>
        <v>5</v>
      </c>
      <c r="AZ67" s="1">
        <f t="shared" si="41"/>
        <v>8</v>
      </c>
      <c r="BA67" s="1">
        <f t="shared" si="40"/>
        <v>4</v>
      </c>
      <c r="BB67" s="1">
        <v>7</v>
      </c>
      <c r="BC67" s="1">
        <f t="shared" si="36"/>
        <v>25</v>
      </c>
      <c r="BD67" s="1">
        <f t="shared" si="37"/>
        <v>49</v>
      </c>
      <c r="BE67" s="1">
        <f t="shared" si="38"/>
        <v>25</v>
      </c>
      <c r="BF67" s="1">
        <v>10</v>
      </c>
      <c r="BG67" s="1"/>
      <c r="BH67" s="1"/>
      <c r="BI67" s="10"/>
      <c r="BJ67" s="10"/>
      <c r="BK67" s="10"/>
      <c r="BL67" s="10"/>
      <c r="BM67" s="10"/>
      <c r="BN67" s="10"/>
      <c r="BO67" s="10" t="s">
        <v>371</v>
      </c>
      <c r="BP67" s="10" t="s">
        <v>372</v>
      </c>
      <c r="BQ67" s="50">
        <v>15</v>
      </c>
      <c r="BR67" s="50">
        <f t="shared" si="15"/>
        <v>237</v>
      </c>
      <c r="BS67" s="51">
        <f t="shared" si="16"/>
        <v>39.5</v>
      </c>
      <c r="BT67" s="52" t="s">
        <v>375</v>
      </c>
      <c r="BU67" s="10"/>
    </row>
    <row r="68" spans="1:73" ht="18" customHeight="1" x14ac:dyDescent="0.25">
      <c r="A68" s="2">
        <v>63</v>
      </c>
      <c r="B68" s="5" t="s">
        <v>190</v>
      </c>
      <c r="C68" s="1">
        <v>12</v>
      </c>
      <c r="D68" s="1">
        <v>16</v>
      </c>
      <c r="E68" s="1">
        <v>15</v>
      </c>
      <c r="F68" s="1">
        <v>13</v>
      </c>
      <c r="G68" s="1">
        <v>36</v>
      </c>
      <c r="H68" s="1">
        <f t="shared" si="26"/>
        <v>92</v>
      </c>
      <c r="I68" s="1">
        <f t="shared" si="27"/>
        <v>46</v>
      </c>
      <c r="J68" s="10"/>
      <c r="K68" s="1">
        <v>12</v>
      </c>
      <c r="L68" s="1">
        <v>17</v>
      </c>
      <c r="M68" s="1">
        <v>10</v>
      </c>
      <c r="N68" s="1">
        <v>15</v>
      </c>
      <c r="O68" s="1">
        <v>32</v>
      </c>
      <c r="P68" s="1">
        <f t="shared" si="28"/>
        <v>86</v>
      </c>
      <c r="Q68" s="1">
        <f t="shared" si="29"/>
        <v>43</v>
      </c>
      <c r="R68" s="1"/>
      <c r="S68" s="59">
        <v>15</v>
      </c>
      <c r="T68" s="59">
        <v>35</v>
      </c>
      <c r="U68" s="59">
        <v>14</v>
      </c>
      <c r="V68" s="59">
        <v>17</v>
      </c>
      <c r="W68" s="59">
        <v>54</v>
      </c>
      <c r="X68" s="59">
        <f t="shared" si="30"/>
        <v>135</v>
      </c>
      <c r="Y68" s="59">
        <f t="shared" si="31"/>
        <v>68</v>
      </c>
      <c r="Z68" s="58"/>
      <c r="AA68" s="1">
        <v>19</v>
      </c>
      <c r="AB68" s="1">
        <v>17</v>
      </c>
      <c r="AC68" s="1">
        <v>11</v>
      </c>
      <c r="AD68" s="1">
        <v>14</v>
      </c>
      <c r="AE68" s="1">
        <v>33</v>
      </c>
      <c r="AF68" s="1">
        <f t="shared" si="32"/>
        <v>94</v>
      </c>
      <c r="AG68" s="1">
        <f t="shared" si="33"/>
        <v>47</v>
      </c>
      <c r="AH68" s="10"/>
      <c r="AI68" s="1">
        <v>15</v>
      </c>
      <c r="AJ68" s="1">
        <v>23</v>
      </c>
      <c r="AK68" s="1">
        <v>10</v>
      </c>
      <c r="AL68" s="1">
        <v>19</v>
      </c>
      <c r="AM68" s="1">
        <v>54</v>
      </c>
      <c r="AN68" s="1">
        <f t="shared" si="34"/>
        <v>121</v>
      </c>
      <c r="AO68" s="1">
        <f t="shared" si="35"/>
        <v>61</v>
      </c>
      <c r="AP68" s="10"/>
      <c r="AQ68" s="1">
        <v>10</v>
      </c>
      <c r="AR68" s="1">
        <v>15.5</v>
      </c>
      <c r="AS68" s="1">
        <v>6.5</v>
      </c>
      <c r="AT68" s="1">
        <v>16</v>
      </c>
      <c r="AU68" s="1">
        <v>5</v>
      </c>
      <c r="AV68" s="1">
        <v>7</v>
      </c>
      <c r="AW68" s="1">
        <v>2</v>
      </c>
      <c r="AX68" s="1">
        <v>8</v>
      </c>
      <c r="AY68" s="1">
        <f t="shared" si="42"/>
        <v>15</v>
      </c>
      <c r="AZ68" s="1">
        <f t="shared" si="41"/>
        <v>23</v>
      </c>
      <c r="BA68" s="1">
        <f t="shared" si="40"/>
        <v>9</v>
      </c>
      <c r="BB68" s="1">
        <v>9</v>
      </c>
      <c r="BC68" s="1">
        <f t="shared" si="36"/>
        <v>24</v>
      </c>
      <c r="BD68" s="1">
        <f t="shared" si="37"/>
        <v>80</v>
      </c>
      <c r="BE68" s="1">
        <f t="shared" si="38"/>
        <v>40</v>
      </c>
      <c r="BF68" s="1"/>
      <c r="BG68" s="1"/>
      <c r="BH68" s="1"/>
      <c r="BI68" s="10"/>
      <c r="BJ68" s="10"/>
      <c r="BK68" s="10"/>
      <c r="BL68" s="10"/>
      <c r="BM68" s="10"/>
      <c r="BN68" s="10"/>
      <c r="BO68" s="10" t="s">
        <v>371</v>
      </c>
      <c r="BP68" s="10" t="s">
        <v>372</v>
      </c>
      <c r="BQ68" s="50"/>
      <c r="BR68" s="50">
        <f t="shared" si="15"/>
        <v>305</v>
      </c>
      <c r="BS68" s="51">
        <f t="shared" si="16"/>
        <v>50.833333333333336</v>
      </c>
      <c r="BT68" s="52" t="str">
        <f t="shared" si="14"/>
        <v>GRADE II</v>
      </c>
      <c r="BU68" s="10"/>
    </row>
    <row r="69" spans="1:73" ht="18" customHeight="1" x14ac:dyDescent="0.25">
      <c r="A69" s="2">
        <v>64</v>
      </c>
      <c r="B69" s="5" t="s">
        <v>191</v>
      </c>
      <c r="C69" s="1">
        <v>9</v>
      </c>
      <c r="D69" s="1">
        <v>15</v>
      </c>
      <c r="E69" s="1">
        <v>10</v>
      </c>
      <c r="F69" s="1">
        <v>12</v>
      </c>
      <c r="G69" s="1">
        <v>42</v>
      </c>
      <c r="H69" s="1">
        <f t="shared" si="26"/>
        <v>88</v>
      </c>
      <c r="I69" s="1">
        <f t="shared" si="27"/>
        <v>44</v>
      </c>
      <c r="J69" s="10"/>
      <c r="K69" s="1">
        <v>12</v>
      </c>
      <c r="L69" s="1">
        <v>22</v>
      </c>
      <c r="M69" s="1">
        <v>9</v>
      </c>
      <c r="N69" s="1">
        <v>16</v>
      </c>
      <c r="O69" s="1">
        <v>23</v>
      </c>
      <c r="P69" s="1">
        <f t="shared" si="28"/>
        <v>82</v>
      </c>
      <c r="Q69" s="1">
        <f t="shared" si="29"/>
        <v>41</v>
      </c>
      <c r="R69" s="1"/>
      <c r="S69" s="59">
        <v>16</v>
      </c>
      <c r="T69" s="59">
        <v>28</v>
      </c>
      <c r="U69" s="59">
        <v>13</v>
      </c>
      <c r="V69" s="59">
        <v>15</v>
      </c>
      <c r="W69" s="59">
        <v>34</v>
      </c>
      <c r="X69" s="59">
        <f t="shared" si="30"/>
        <v>106</v>
      </c>
      <c r="Y69" s="59">
        <f t="shared" si="31"/>
        <v>53</v>
      </c>
      <c r="Z69" s="58"/>
      <c r="AA69" s="1">
        <v>16</v>
      </c>
      <c r="AB69" s="1">
        <v>17</v>
      </c>
      <c r="AC69" s="1">
        <v>11</v>
      </c>
      <c r="AD69" s="1">
        <v>15</v>
      </c>
      <c r="AE69" s="1">
        <v>30</v>
      </c>
      <c r="AF69" s="1">
        <f t="shared" si="32"/>
        <v>89</v>
      </c>
      <c r="AG69" s="1">
        <f t="shared" si="33"/>
        <v>45</v>
      </c>
      <c r="AH69" s="10"/>
      <c r="AI69" s="1">
        <v>7</v>
      </c>
      <c r="AJ69" s="1">
        <v>20</v>
      </c>
      <c r="AK69" s="1">
        <v>8</v>
      </c>
      <c r="AL69" s="1">
        <v>20</v>
      </c>
      <c r="AM69" s="1">
        <v>40</v>
      </c>
      <c r="AN69" s="1">
        <f t="shared" si="34"/>
        <v>95</v>
      </c>
      <c r="AO69" s="1">
        <f t="shared" si="35"/>
        <v>48</v>
      </c>
      <c r="AP69" s="10"/>
      <c r="AQ69" s="1">
        <v>9</v>
      </c>
      <c r="AR69" s="1">
        <v>12</v>
      </c>
      <c r="AS69" s="1">
        <v>4.5</v>
      </c>
      <c r="AT69" s="1">
        <v>18</v>
      </c>
      <c r="AU69" s="1">
        <v>5</v>
      </c>
      <c r="AV69" s="1">
        <v>7</v>
      </c>
      <c r="AW69" s="1">
        <v>1.5</v>
      </c>
      <c r="AX69" s="1">
        <v>12</v>
      </c>
      <c r="AY69" s="1">
        <f t="shared" si="42"/>
        <v>14</v>
      </c>
      <c r="AZ69" s="1">
        <f t="shared" si="41"/>
        <v>19</v>
      </c>
      <c r="BA69" s="1">
        <f t="shared" si="40"/>
        <v>6</v>
      </c>
      <c r="BB69" s="1">
        <v>12</v>
      </c>
      <c r="BC69" s="1">
        <f t="shared" si="36"/>
        <v>30</v>
      </c>
      <c r="BD69" s="1">
        <f t="shared" si="37"/>
        <v>81</v>
      </c>
      <c r="BE69" s="1">
        <f t="shared" si="38"/>
        <v>41</v>
      </c>
      <c r="BF69" s="1"/>
      <c r="BG69" s="1"/>
      <c r="BH69" s="1"/>
      <c r="BI69" s="10"/>
      <c r="BJ69" s="10"/>
      <c r="BK69" s="10"/>
      <c r="BL69" s="10"/>
      <c r="BM69" s="10"/>
      <c r="BN69" s="10"/>
      <c r="BO69" s="10" t="s">
        <v>371</v>
      </c>
      <c r="BP69" s="10" t="s">
        <v>372</v>
      </c>
      <c r="BQ69" s="50"/>
      <c r="BR69" s="50">
        <f t="shared" si="15"/>
        <v>272</v>
      </c>
      <c r="BS69" s="51">
        <f t="shared" si="16"/>
        <v>45.333333333333336</v>
      </c>
      <c r="BT69" s="52" t="str">
        <f t="shared" si="14"/>
        <v>GRADE II</v>
      </c>
      <c r="BU69" s="10"/>
    </row>
    <row r="70" spans="1:73" ht="18" customHeight="1" x14ac:dyDescent="0.25">
      <c r="A70" s="2">
        <v>65</v>
      </c>
      <c r="B70" s="5" t="s">
        <v>192</v>
      </c>
      <c r="C70" s="1">
        <v>8</v>
      </c>
      <c r="D70" s="1">
        <v>19</v>
      </c>
      <c r="E70" s="1">
        <v>12</v>
      </c>
      <c r="F70" s="1">
        <v>15</v>
      </c>
      <c r="G70" s="1">
        <v>35</v>
      </c>
      <c r="H70" s="1">
        <f t="shared" ref="H70:H101" si="43">ROUND(SUM(C70:G70),0)</f>
        <v>89</v>
      </c>
      <c r="I70" s="1">
        <f t="shared" ref="I70:I101" si="44">ROUND(H70/2,0)</f>
        <v>45</v>
      </c>
      <c r="J70" s="10"/>
      <c r="K70" s="1">
        <v>10</v>
      </c>
      <c r="L70" s="1">
        <v>17</v>
      </c>
      <c r="M70" s="1">
        <v>10</v>
      </c>
      <c r="N70" s="1">
        <v>14</v>
      </c>
      <c r="O70" s="1">
        <v>20</v>
      </c>
      <c r="P70" s="1">
        <f t="shared" ref="P70:P101" si="45">ROUND(SUM(K70:O70),0)</f>
        <v>71</v>
      </c>
      <c r="Q70" s="1">
        <f t="shared" ref="Q70:Q101" si="46">ROUND(P70/2,0)</f>
        <v>36</v>
      </c>
      <c r="R70" s="1"/>
      <c r="S70" s="59">
        <v>18</v>
      </c>
      <c r="T70" s="59">
        <v>35</v>
      </c>
      <c r="U70" s="59">
        <v>14</v>
      </c>
      <c r="V70" s="59">
        <v>19</v>
      </c>
      <c r="W70" s="59">
        <v>42</v>
      </c>
      <c r="X70" s="59">
        <f t="shared" ref="X70:X101" si="47">ROUND(SUM(S70:W70),0)</f>
        <v>128</v>
      </c>
      <c r="Y70" s="59">
        <f t="shared" ref="Y70:Y101" si="48">ROUND(X70/2,0)</f>
        <v>64</v>
      </c>
      <c r="Z70" s="58"/>
      <c r="AA70" s="1">
        <v>19</v>
      </c>
      <c r="AB70" s="1">
        <v>22</v>
      </c>
      <c r="AC70" s="1">
        <v>12</v>
      </c>
      <c r="AD70" s="1">
        <v>16</v>
      </c>
      <c r="AE70" s="1">
        <v>32</v>
      </c>
      <c r="AF70" s="1">
        <f t="shared" ref="AF70:AF101" si="49">ROUND(SUM(AA70:AE70),0)</f>
        <v>101</v>
      </c>
      <c r="AG70" s="1">
        <f t="shared" ref="AG70:AG101" si="50">ROUND(AF70/2,0)</f>
        <v>51</v>
      </c>
      <c r="AH70" s="10"/>
      <c r="AI70" s="1">
        <v>11</v>
      </c>
      <c r="AJ70" s="1">
        <v>32</v>
      </c>
      <c r="AK70" s="1">
        <v>12</v>
      </c>
      <c r="AL70" s="1">
        <v>16</v>
      </c>
      <c r="AM70" s="1">
        <v>52</v>
      </c>
      <c r="AN70" s="1">
        <f t="shared" ref="AN70:AN101" si="51">ROUND(SUM(AI70:AM70),0)</f>
        <v>123</v>
      </c>
      <c r="AO70" s="1">
        <f t="shared" ref="AO70:AO101" si="52">ROUND(AN70/2,0)</f>
        <v>62</v>
      </c>
      <c r="AP70" s="10"/>
      <c r="AQ70" s="1">
        <v>8</v>
      </c>
      <c r="AR70" s="1">
        <v>6</v>
      </c>
      <c r="AS70" s="1">
        <v>3</v>
      </c>
      <c r="AT70" s="1">
        <v>11</v>
      </c>
      <c r="AU70" s="1">
        <v>6</v>
      </c>
      <c r="AV70" s="1">
        <v>11</v>
      </c>
      <c r="AW70" s="1">
        <v>1.5</v>
      </c>
      <c r="AX70" s="1">
        <v>8</v>
      </c>
      <c r="AY70" s="1">
        <f t="shared" si="42"/>
        <v>14</v>
      </c>
      <c r="AZ70" s="1">
        <f t="shared" si="41"/>
        <v>17</v>
      </c>
      <c r="BA70" s="1">
        <f t="shared" si="40"/>
        <v>5</v>
      </c>
      <c r="BB70" s="1">
        <v>15</v>
      </c>
      <c r="BC70" s="1">
        <f t="shared" si="36"/>
        <v>19</v>
      </c>
      <c r="BD70" s="1">
        <f t="shared" si="37"/>
        <v>70</v>
      </c>
      <c r="BE70" s="1">
        <f t="shared" si="38"/>
        <v>35</v>
      </c>
      <c r="BF70" s="1"/>
      <c r="BG70" s="1"/>
      <c r="BH70" s="1"/>
      <c r="BI70" s="10"/>
      <c r="BJ70" s="10"/>
      <c r="BK70" s="10"/>
      <c r="BL70" s="10"/>
      <c r="BM70" s="10"/>
      <c r="BN70" s="10"/>
      <c r="BO70" s="10" t="s">
        <v>372</v>
      </c>
      <c r="BP70" s="10" t="s">
        <v>372</v>
      </c>
      <c r="BQ70" s="50"/>
      <c r="BR70" s="50">
        <f t="shared" si="15"/>
        <v>293</v>
      </c>
      <c r="BS70" s="51">
        <f t="shared" si="16"/>
        <v>48.833333333333336</v>
      </c>
      <c r="BT70" s="52" t="str">
        <f t="shared" ref="BT70:BT125" si="53">IF(BS70&gt;=75,"GRADE I with Distinction",IF(BS70&gt;=60,"GRADE I",IF(BS70&gt;=45,"GRADE II",IF(BS70&gt;=35,"PASS","FAIL"))))</f>
        <v>GRADE II</v>
      </c>
      <c r="BU70" s="10"/>
    </row>
    <row r="71" spans="1:73" ht="18" customHeight="1" x14ac:dyDescent="0.25">
      <c r="A71" s="2">
        <v>66</v>
      </c>
      <c r="B71" s="5" t="s">
        <v>193</v>
      </c>
      <c r="C71" s="1">
        <v>11</v>
      </c>
      <c r="D71" s="1">
        <v>19</v>
      </c>
      <c r="E71" s="1">
        <v>14</v>
      </c>
      <c r="F71" s="1">
        <v>18</v>
      </c>
      <c r="G71" s="1">
        <v>48</v>
      </c>
      <c r="H71" s="1">
        <f t="shared" si="43"/>
        <v>110</v>
      </c>
      <c r="I71" s="1">
        <f t="shared" si="44"/>
        <v>55</v>
      </c>
      <c r="J71" s="10"/>
      <c r="K71" s="1">
        <v>16</v>
      </c>
      <c r="L71" s="1">
        <v>40</v>
      </c>
      <c r="M71" s="1">
        <v>18</v>
      </c>
      <c r="N71" s="1">
        <v>17</v>
      </c>
      <c r="O71" s="1">
        <v>41</v>
      </c>
      <c r="P71" s="1">
        <f t="shared" si="45"/>
        <v>132</v>
      </c>
      <c r="Q71" s="1">
        <f t="shared" si="46"/>
        <v>66</v>
      </c>
      <c r="R71" s="1"/>
      <c r="S71" s="59">
        <v>23</v>
      </c>
      <c r="T71" s="59">
        <v>46</v>
      </c>
      <c r="U71" s="59">
        <v>20</v>
      </c>
      <c r="V71" s="59">
        <v>20</v>
      </c>
      <c r="W71" s="59">
        <v>67</v>
      </c>
      <c r="X71" s="59">
        <f t="shared" si="47"/>
        <v>176</v>
      </c>
      <c r="Y71" s="59">
        <f t="shared" si="48"/>
        <v>88</v>
      </c>
      <c r="Z71" s="58"/>
      <c r="AA71" s="1">
        <v>20</v>
      </c>
      <c r="AB71" s="1">
        <v>32</v>
      </c>
      <c r="AC71" s="1">
        <v>13</v>
      </c>
      <c r="AD71" s="1">
        <v>16</v>
      </c>
      <c r="AE71" s="1">
        <v>46</v>
      </c>
      <c r="AF71" s="1">
        <f t="shared" si="49"/>
        <v>127</v>
      </c>
      <c r="AG71" s="1">
        <f t="shared" si="50"/>
        <v>64</v>
      </c>
      <c r="AH71" s="10"/>
      <c r="AI71" s="1">
        <v>23</v>
      </c>
      <c r="AJ71" s="1">
        <v>42</v>
      </c>
      <c r="AK71" s="1">
        <v>14</v>
      </c>
      <c r="AL71" s="1">
        <v>18</v>
      </c>
      <c r="AM71" s="1">
        <v>67</v>
      </c>
      <c r="AN71" s="1">
        <f t="shared" si="51"/>
        <v>164</v>
      </c>
      <c r="AO71" s="1">
        <f t="shared" si="52"/>
        <v>82</v>
      </c>
      <c r="AP71" s="10"/>
      <c r="AQ71" s="1">
        <v>12</v>
      </c>
      <c r="AR71" s="1">
        <v>12</v>
      </c>
      <c r="AS71" s="1">
        <v>5</v>
      </c>
      <c r="AT71" s="1">
        <v>27</v>
      </c>
      <c r="AU71" s="1">
        <v>8</v>
      </c>
      <c r="AV71" s="1">
        <v>17</v>
      </c>
      <c r="AW71" s="1">
        <v>6</v>
      </c>
      <c r="AX71" s="1">
        <v>26</v>
      </c>
      <c r="AY71" s="1">
        <f t="shared" si="42"/>
        <v>20</v>
      </c>
      <c r="AZ71" s="1">
        <f t="shared" si="41"/>
        <v>29</v>
      </c>
      <c r="BA71" s="1">
        <f t="shared" si="40"/>
        <v>11</v>
      </c>
      <c r="BB71" s="1">
        <v>17</v>
      </c>
      <c r="BC71" s="1">
        <f t="shared" si="36"/>
        <v>53</v>
      </c>
      <c r="BD71" s="1">
        <f t="shared" si="37"/>
        <v>130</v>
      </c>
      <c r="BE71" s="1">
        <f t="shared" si="38"/>
        <v>65</v>
      </c>
      <c r="BF71" s="1"/>
      <c r="BG71" s="1"/>
      <c r="BH71" s="1"/>
      <c r="BI71" s="10"/>
      <c r="BJ71" s="10"/>
      <c r="BK71" s="10"/>
      <c r="BL71" s="10"/>
      <c r="BM71" s="10"/>
      <c r="BN71" s="10"/>
      <c r="BO71" s="10" t="s">
        <v>371</v>
      </c>
      <c r="BP71" s="10" t="s">
        <v>372</v>
      </c>
      <c r="BQ71" s="50"/>
      <c r="BR71" s="50">
        <f t="shared" ref="BR71:BR124" si="54">ROUND(I71+Q71+Y71+AG71+AO71+BE71,0)</f>
        <v>420</v>
      </c>
      <c r="BS71" s="51">
        <f t="shared" ref="BS71:BS124" si="55">BR71/6</f>
        <v>70</v>
      </c>
      <c r="BT71" s="52" t="str">
        <f t="shared" si="53"/>
        <v>GRADE I</v>
      </c>
      <c r="BU71" s="10"/>
    </row>
    <row r="72" spans="1:73" ht="18" customHeight="1" x14ac:dyDescent="0.25">
      <c r="A72" s="2">
        <v>67</v>
      </c>
      <c r="B72" s="5" t="s">
        <v>194</v>
      </c>
      <c r="C72" s="1">
        <v>2</v>
      </c>
      <c r="D72" s="1">
        <v>9</v>
      </c>
      <c r="E72" s="1">
        <v>5</v>
      </c>
      <c r="F72" s="1">
        <v>17</v>
      </c>
      <c r="G72" s="1">
        <v>26</v>
      </c>
      <c r="H72" s="1">
        <f t="shared" si="43"/>
        <v>59</v>
      </c>
      <c r="I72" s="1">
        <f t="shared" si="44"/>
        <v>30</v>
      </c>
      <c r="J72" s="10">
        <v>5</v>
      </c>
      <c r="K72" s="1">
        <v>3</v>
      </c>
      <c r="L72" s="1">
        <v>17</v>
      </c>
      <c r="M72" s="1">
        <v>8</v>
      </c>
      <c r="N72" s="1">
        <v>17</v>
      </c>
      <c r="O72" s="1">
        <v>14</v>
      </c>
      <c r="P72" s="1">
        <f t="shared" si="45"/>
        <v>59</v>
      </c>
      <c r="Q72" s="1">
        <f t="shared" si="46"/>
        <v>30</v>
      </c>
      <c r="R72" s="1">
        <v>5</v>
      </c>
      <c r="S72" s="59">
        <v>7</v>
      </c>
      <c r="T72" s="59">
        <v>22</v>
      </c>
      <c r="U72" s="59">
        <v>13</v>
      </c>
      <c r="V72" s="59">
        <v>13</v>
      </c>
      <c r="W72" s="59">
        <v>35</v>
      </c>
      <c r="X72" s="59">
        <f t="shared" si="47"/>
        <v>90</v>
      </c>
      <c r="Y72" s="59">
        <f t="shared" si="48"/>
        <v>45</v>
      </c>
      <c r="Z72" s="58"/>
      <c r="AA72" s="1">
        <v>11</v>
      </c>
      <c r="AB72" s="1">
        <v>14</v>
      </c>
      <c r="AC72" s="1">
        <v>12</v>
      </c>
      <c r="AD72" s="1">
        <v>13</v>
      </c>
      <c r="AE72" s="1">
        <v>21</v>
      </c>
      <c r="AF72" s="1">
        <f t="shared" si="49"/>
        <v>71</v>
      </c>
      <c r="AG72" s="1">
        <f t="shared" si="50"/>
        <v>36</v>
      </c>
      <c r="AH72" s="10"/>
      <c r="AI72" s="1">
        <v>4</v>
      </c>
      <c r="AJ72" s="1">
        <v>13</v>
      </c>
      <c r="AK72" s="1">
        <v>8</v>
      </c>
      <c r="AL72" s="1">
        <v>15</v>
      </c>
      <c r="AM72" s="1">
        <v>30</v>
      </c>
      <c r="AN72" s="1">
        <f t="shared" si="51"/>
        <v>70</v>
      </c>
      <c r="AO72" s="1">
        <f t="shared" si="52"/>
        <v>35</v>
      </c>
      <c r="AP72" s="10"/>
      <c r="AQ72" s="1">
        <v>8</v>
      </c>
      <c r="AR72" s="1">
        <v>6</v>
      </c>
      <c r="AS72" s="1">
        <v>4</v>
      </c>
      <c r="AT72" s="1">
        <v>10</v>
      </c>
      <c r="AU72" s="1">
        <v>1</v>
      </c>
      <c r="AV72" s="1">
        <v>6</v>
      </c>
      <c r="AW72" s="1">
        <v>2</v>
      </c>
      <c r="AX72" s="1">
        <v>13</v>
      </c>
      <c r="AY72" s="1">
        <f t="shared" si="42"/>
        <v>9</v>
      </c>
      <c r="AZ72" s="1">
        <f t="shared" si="41"/>
        <v>12</v>
      </c>
      <c r="BA72" s="1">
        <f t="shared" si="40"/>
        <v>6</v>
      </c>
      <c r="BB72" s="1">
        <v>9</v>
      </c>
      <c r="BC72" s="1">
        <f t="shared" si="36"/>
        <v>23</v>
      </c>
      <c r="BD72" s="1">
        <f t="shared" si="37"/>
        <v>59</v>
      </c>
      <c r="BE72" s="1">
        <f t="shared" si="38"/>
        <v>30</v>
      </c>
      <c r="BF72" s="1">
        <v>5</v>
      </c>
      <c r="BG72" s="1"/>
      <c r="BH72" s="1"/>
      <c r="BI72" s="10"/>
      <c r="BJ72" s="10"/>
      <c r="BK72" s="10"/>
      <c r="BL72" s="10"/>
      <c r="BM72" s="10"/>
      <c r="BN72" s="10"/>
      <c r="BO72" s="10" t="s">
        <v>372</v>
      </c>
      <c r="BP72" s="10" t="s">
        <v>372</v>
      </c>
      <c r="BQ72" s="50">
        <v>15</v>
      </c>
      <c r="BR72" s="50">
        <f t="shared" si="54"/>
        <v>206</v>
      </c>
      <c r="BS72" s="51">
        <f t="shared" si="55"/>
        <v>34.333333333333336</v>
      </c>
      <c r="BT72" s="52" t="s">
        <v>375</v>
      </c>
      <c r="BU72" s="10"/>
    </row>
    <row r="73" spans="1:73" ht="18" customHeight="1" x14ac:dyDescent="0.25">
      <c r="A73" s="2">
        <v>68</v>
      </c>
      <c r="B73" s="7" t="s">
        <v>195</v>
      </c>
      <c r="C73" s="1">
        <v>13</v>
      </c>
      <c r="D73" s="1">
        <v>28</v>
      </c>
      <c r="E73" s="1">
        <v>18</v>
      </c>
      <c r="F73" s="1">
        <v>17</v>
      </c>
      <c r="G73" s="1">
        <v>56</v>
      </c>
      <c r="H73" s="1">
        <f t="shared" si="43"/>
        <v>132</v>
      </c>
      <c r="I73" s="1">
        <f t="shared" si="44"/>
        <v>66</v>
      </c>
      <c r="J73" s="10"/>
      <c r="K73" s="1">
        <v>14</v>
      </c>
      <c r="L73" s="1">
        <v>30</v>
      </c>
      <c r="M73" s="1">
        <v>14</v>
      </c>
      <c r="N73" s="1">
        <v>17</v>
      </c>
      <c r="O73" s="1">
        <v>45</v>
      </c>
      <c r="P73" s="1">
        <f t="shared" si="45"/>
        <v>120</v>
      </c>
      <c r="Q73" s="1">
        <f t="shared" si="46"/>
        <v>60</v>
      </c>
      <c r="R73" s="1"/>
      <c r="S73" s="59">
        <v>23</v>
      </c>
      <c r="T73" s="59">
        <v>44</v>
      </c>
      <c r="U73" s="59">
        <v>18</v>
      </c>
      <c r="V73" s="59">
        <v>19</v>
      </c>
      <c r="W73" s="59">
        <v>60</v>
      </c>
      <c r="X73" s="59">
        <f t="shared" si="47"/>
        <v>164</v>
      </c>
      <c r="Y73" s="59">
        <f t="shared" si="48"/>
        <v>82</v>
      </c>
      <c r="Z73" s="58"/>
      <c r="AA73" s="1">
        <v>24</v>
      </c>
      <c r="AB73" s="1">
        <v>38</v>
      </c>
      <c r="AC73" s="1">
        <v>20</v>
      </c>
      <c r="AD73" s="1">
        <v>18</v>
      </c>
      <c r="AE73" s="1">
        <v>67</v>
      </c>
      <c r="AF73" s="1">
        <f t="shared" si="49"/>
        <v>167</v>
      </c>
      <c r="AG73" s="1">
        <f t="shared" si="50"/>
        <v>84</v>
      </c>
      <c r="AH73" s="10"/>
      <c r="AI73" s="1">
        <v>24</v>
      </c>
      <c r="AJ73" s="1">
        <v>45</v>
      </c>
      <c r="AK73" s="1">
        <v>16</v>
      </c>
      <c r="AL73" s="1">
        <v>20</v>
      </c>
      <c r="AM73" s="1">
        <v>61</v>
      </c>
      <c r="AN73" s="1">
        <f t="shared" si="51"/>
        <v>166</v>
      </c>
      <c r="AO73" s="1">
        <f t="shared" si="52"/>
        <v>83</v>
      </c>
      <c r="AP73" s="10"/>
      <c r="AQ73" s="1">
        <v>12</v>
      </c>
      <c r="AR73" s="1">
        <v>21</v>
      </c>
      <c r="AS73" s="1">
        <v>8.5</v>
      </c>
      <c r="AT73" s="1">
        <v>31</v>
      </c>
      <c r="AU73" s="1">
        <v>10</v>
      </c>
      <c r="AV73" s="1">
        <v>23</v>
      </c>
      <c r="AW73" s="1">
        <v>9.5</v>
      </c>
      <c r="AX73" s="1">
        <v>34</v>
      </c>
      <c r="AY73" s="1">
        <f t="shared" si="42"/>
        <v>22</v>
      </c>
      <c r="AZ73" s="1">
        <f t="shared" si="41"/>
        <v>44</v>
      </c>
      <c r="BA73" s="1">
        <f t="shared" si="40"/>
        <v>18</v>
      </c>
      <c r="BB73" s="1">
        <v>13</v>
      </c>
      <c r="BC73" s="1">
        <f t="shared" si="36"/>
        <v>65</v>
      </c>
      <c r="BD73" s="1">
        <f t="shared" si="37"/>
        <v>162</v>
      </c>
      <c r="BE73" s="1">
        <f t="shared" si="38"/>
        <v>81</v>
      </c>
      <c r="BF73" s="1"/>
      <c r="BG73" s="1"/>
      <c r="BH73" s="1"/>
      <c r="BI73" s="10"/>
      <c r="BJ73" s="10"/>
      <c r="BK73" s="10"/>
      <c r="BL73" s="10"/>
      <c r="BM73" s="10"/>
      <c r="BN73" s="10"/>
      <c r="BO73" s="10" t="s">
        <v>371</v>
      </c>
      <c r="BP73" s="10" t="s">
        <v>371</v>
      </c>
      <c r="BQ73" s="50"/>
      <c r="BR73" s="50">
        <f t="shared" si="54"/>
        <v>456</v>
      </c>
      <c r="BS73" s="51">
        <f t="shared" si="55"/>
        <v>76</v>
      </c>
      <c r="BT73" s="52" t="str">
        <f t="shared" si="53"/>
        <v>GRADE I with Distinction</v>
      </c>
      <c r="BU73" s="10"/>
    </row>
    <row r="74" spans="1:73" ht="18" customHeight="1" x14ac:dyDescent="0.25">
      <c r="A74" s="2">
        <v>69</v>
      </c>
      <c r="B74" s="5" t="s">
        <v>196</v>
      </c>
      <c r="C74" s="1">
        <v>17</v>
      </c>
      <c r="D74" s="1">
        <v>27</v>
      </c>
      <c r="E74" s="1">
        <v>19</v>
      </c>
      <c r="F74" s="1">
        <v>16</v>
      </c>
      <c r="G74" s="1">
        <v>58</v>
      </c>
      <c r="H74" s="1">
        <f t="shared" si="43"/>
        <v>137</v>
      </c>
      <c r="I74" s="1">
        <f t="shared" si="44"/>
        <v>69</v>
      </c>
      <c r="J74" s="10"/>
      <c r="K74" s="1">
        <v>21</v>
      </c>
      <c r="L74" s="1">
        <v>37</v>
      </c>
      <c r="M74" s="1">
        <v>19</v>
      </c>
      <c r="N74" s="1">
        <v>17</v>
      </c>
      <c r="O74" s="1">
        <v>55</v>
      </c>
      <c r="P74" s="1">
        <f t="shared" si="45"/>
        <v>149</v>
      </c>
      <c r="Q74" s="1">
        <f t="shared" si="46"/>
        <v>75</v>
      </c>
      <c r="R74" s="1"/>
      <c r="S74" s="59">
        <v>20</v>
      </c>
      <c r="T74" s="59">
        <v>48</v>
      </c>
      <c r="U74" s="59">
        <v>21</v>
      </c>
      <c r="V74" s="59">
        <v>19</v>
      </c>
      <c r="W74" s="59">
        <v>73</v>
      </c>
      <c r="X74" s="59">
        <f t="shared" si="47"/>
        <v>181</v>
      </c>
      <c r="Y74" s="59">
        <f t="shared" si="48"/>
        <v>91</v>
      </c>
      <c r="Z74" s="58"/>
      <c r="AA74" s="1">
        <v>17</v>
      </c>
      <c r="AB74" s="1">
        <v>35</v>
      </c>
      <c r="AC74" s="1">
        <v>20</v>
      </c>
      <c r="AD74" s="1">
        <v>19</v>
      </c>
      <c r="AE74" s="1">
        <v>53</v>
      </c>
      <c r="AF74" s="1">
        <f t="shared" si="49"/>
        <v>144</v>
      </c>
      <c r="AG74" s="1">
        <f t="shared" si="50"/>
        <v>72</v>
      </c>
      <c r="AH74" s="10"/>
      <c r="AI74" s="1">
        <v>20</v>
      </c>
      <c r="AJ74" s="1">
        <v>45</v>
      </c>
      <c r="AK74" s="1">
        <v>17</v>
      </c>
      <c r="AL74" s="1">
        <v>20</v>
      </c>
      <c r="AM74" s="1">
        <v>73</v>
      </c>
      <c r="AN74" s="1">
        <f t="shared" si="51"/>
        <v>175</v>
      </c>
      <c r="AO74" s="1">
        <f t="shared" si="52"/>
        <v>88</v>
      </c>
      <c r="AP74" s="10"/>
      <c r="AQ74" s="1">
        <v>10</v>
      </c>
      <c r="AR74" s="1">
        <v>17.5</v>
      </c>
      <c r="AS74" s="1">
        <v>2.5</v>
      </c>
      <c r="AT74" s="1">
        <v>34</v>
      </c>
      <c r="AU74" s="1">
        <v>8</v>
      </c>
      <c r="AV74" s="1">
        <v>18</v>
      </c>
      <c r="AW74" s="1">
        <v>6.5</v>
      </c>
      <c r="AX74" s="1">
        <v>29</v>
      </c>
      <c r="AY74" s="1">
        <f t="shared" si="42"/>
        <v>18</v>
      </c>
      <c r="AZ74" s="1">
        <f t="shared" si="41"/>
        <v>36</v>
      </c>
      <c r="BA74" s="1">
        <f t="shared" si="40"/>
        <v>9</v>
      </c>
      <c r="BB74" s="1">
        <v>15</v>
      </c>
      <c r="BC74" s="1">
        <f t="shared" si="36"/>
        <v>63</v>
      </c>
      <c r="BD74" s="1">
        <f t="shared" si="37"/>
        <v>141</v>
      </c>
      <c r="BE74" s="1">
        <f t="shared" si="38"/>
        <v>71</v>
      </c>
      <c r="BF74" s="1"/>
      <c r="BG74" s="1"/>
      <c r="BH74" s="1"/>
      <c r="BI74" s="10"/>
      <c r="BJ74" s="10"/>
      <c r="BK74" s="10"/>
      <c r="BL74" s="10"/>
      <c r="BM74" s="10"/>
      <c r="BN74" s="10"/>
      <c r="BO74" s="10" t="s">
        <v>371</v>
      </c>
      <c r="BP74" s="10" t="s">
        <v>371</v>
      </c>
      <c r="BQ74" s="50"/>
      <c r="BR74" s="50">
        <f t="shared" si="54"/>
        <v>466</v>
      </c>
      <c r="BS74" s="51">
        <f t="shared" si="55"/>
        <v>77.666666666666671</v>
      </c>
      <c r="BT74" s="52" t="str">
        <f t="shared" si="53"/>
        <v>GRADE I with Distinction</v>
      </c>
      <c r="BU74" s="10"/>
    </row>
    <row r="75" spans="1:73" ht="18" customHeight="1" x14ac:dyDescent="0.25">
      <c r="A75" s="2">
        <v>70</v>
      </c>
      <c r="B75" s="5" t="s">
        <v>197</v>
      </c>
      <c r="C75" s="1">
        <v>10</v>
      </c>
      <c r="D75" s="1">
        <v>22</v>
      </c>
      <c r="E75" s="1">
        <v>16</v>
      </c>
      <c r="F75" s="1">
        <v>17</v>
      </c>
      <c r="G75" s="1">
        <v>42</v>
      </c>
      <c r="H75" s="1">
        <f t="shared" si="43"/>
        <v>107</v>
      </c>
      <c r="I75" s="1">
        <f t="shared" si="44"/>
        <v>54</v>
      </c>
      <c r="J75" s="10"/>
      <c r="K75" s="1">
        <v>17</v>
      </c>
      <c r="L75" s="1">
        <v>29</v>
      </c>
      <c r="M75" s="1">
        <v>17</v>
      </c>
      <c r="N75" s="1">
        <v>16</v>
      </c>
      <c r="O75" s="1">
        <v>59</v>
      </c>
      <c r="P75" s="1">
        <f t="shared" si="45"/>
        <v>138</v>
      </c>
      <c r="Q75" s="1">
        <f t="shared" si="46"/>
        <v>69</v>
      </c>
      <c r="R75" s="1"/>
      <c r="S75" s="59">
        <v>22</v>
      </c>
      <c r="T75" s="59">
        <v>47</v>
      </c>
      <c r="U75" s="59">
        <v>18</v>
      </c>
      <c r="V75" s="59">
        <v>19</v>
      </c>
      <c r="W75" s="59">
        <v>68</v>
      </c>
      <c r="X75" s="59">
        <f t="shared" si="47"/>
        <v>174</v>
      </c>
      <c r="Y75" s="59">
        <f t="shared" si="48"/>
        <v>87</v>
      </c>
      <c r="Z75" s="58"/>
      <c r="AA75" s="1">
        <v>15</v>
      </c>
      <c r="AB75" s="1">
        <v>27</v>
      </c>
      <c r="AC75" s="1">
        <v>21</v>
      </c>
      <c r="AD75" s="1">
        <v>16</v>
      </c>
      <c r="AE75" s="1">
        <v>42</v>
      </c>
      <c r="AF75" s="1">
        <f t="shared" si="49"/>
        <v>121</v>
      </c>
      <c r="AG75" s="1">
        <f t="shared" si="50"/>
        <v>61</v>
      </c>
      <c r="AH75" s="10"/>
      <c r="AI75" s="1">
        <v>19</v>
      </c>
      <c r="AJ75" s="1">
        <v>40</v>
      </c>
      <c r="AK75" s="1">
        <v>20</v>
      </c>
      <c r="AL75" s="1">
        <v>20</v>
      </c>
      <c r="AM75" s="1">
        <v>61</v>
      </c>
      <c r="AN75" s="1">
        <f t="shared" si="51"/>
        <v>160</v>
      </c>
      <c r="AO75" s="1">
        <f t="shared" si="52"/>
        <v>80</v>
      </c>
      <c r="AP75" s="10"/>
      <c r="AQ75" s="1">
        <v>8</v>
      </c>
      <c r="AR75" s="1">
        <v>16</v>
      </c>
      <c r="AS75" s="1">
        <v>3</v>
      </c>
      <c r="AT75" s="1">
        <v>26</v>
      </c>
      <c r="AU75" s="1">
        <v>6</v>
      </c>
      <c r="AV75" s="1">
        <v>21.5</v>
      </c>
      <c r="AW75" s="1">
        <v>6.5</v>
      </c>
      <c r="AX75" s="1">
        <v>23</v>
      </c>
      <c r="AY75" s="1">
        <f t="shared" si="42"/>
        <v>14</v>
      </c>
      <c r="AZ75" s="1">
        <f t="shared" si="41"/>
        <v>38</v>
      </c>
      <c r="BA75" s="1">
        <f t="shared" si="40"/>
        <v>10</v>
      </c>
      <c r="BB75" s="1">
        <v>15</v>
      </c>
      <c r="BC75" s="1">
        <f t="shared" si="36"/>
        <v>49</v>
      </c>
      <c r="BD75" s="1">
        <f t="shared" si="37"/>
        <v>126</v>
      </c>
      <c r="BE75" s="1">
        <f t="shared" si="38"/>
        <v>63</v>
      </c>
      <c r="BF75" s="1"/>
      <c r="BG75" s="1"/>
      <c r="BH75" s="1"/>
      <c r="BI75" s="10"/>
      <c r="BJ75" s="10"/>
      <c r="BK75" s="10"/>
      <c r="BL75" s="10"/>
      <c r="BM75" s="10"/>
      <c r="BN75" s="10"/>
      <c r="BO75" s="10" t="s">
        <v>371</v>
      </c>
      <c r="BP75" s="10" t="s">
        <v>371</v>
      </c>
      <c r="BQ75" s="50"/>
      <c r="BR75" s="50">
        <f t="shared" si="54"/>
        <v>414</v>
      </c>
      <c r="BS75" s="51">
        <f t="shared" si="55"/>
        <v>69</v>
      </c>
      <c r="BT75" s="52" t="str">
        <f t="shared" si="53"/>
        <v>GRADE I</v>
      </c>
      <c r="BU75" s="10"/>
    </row>
    <row r="76" spans="1:73" ht="18" customHeight="1" x14ac:dyDescent="0.25">
      <c r="A76" s="2">
        <v>71</v>
      </c>
      <c r="B76" s="5" t="s">
        <v>198</v>
      </c>
      <c r="C76" s="1">
        <v>11</v>
      </c>
      <c r="D76" s="1">
        <v>25</v>
      </c>
      <c r="E76" s="1">
        <v>18</v>
      </c>
      <c r="F76" s="1">
        <v>16</v>
      </c>
      <c r="G76" s="1">
        <v>54</v>
      </c>
      <c r="H76" s="1">
        <f t="shared" si="43"/>
        <v>124</v>
      </c>
      <c r="I76" s="1">
        <f t="shared" si="44"/>
        <v>62</v>
      </c>
      <c r="J76" s="10"/>
      <c r="K76" s="1">
        <v>19</v>
      </c>
      <c r="L76" s="1">
        <v>31</v>
      </c>
      <c r="M76" s="1">
        <v>14</v>
      </c>
      <c r="N76" s="1">
        <v>17</v>
      </c>
      <c r="O76" s="1">
        <v>47</v>
      </c>
      <c r="P76" s="1">
        <f t="shared" si="45"/>
        <v>128</v>
      </c>
      <c r="Q76" s="1">
        <f t="shared" si="46"/>
        <v>64</v>
      </c>
      <c r="R76" s="1"/>
      <c r="S76" s="59">
        <v>21</v>
      </c>
      <c r="T76" s="59">
        <v>43</v>
      </c>
      <c r="U76" s="59">
        <v>19</v>
      </c>
      <c r="V76" s="59">
        <v>18</v>
      </c>
      <c r="W76" s="59">
        <v>58</v>
      </c>
      <c r="X76" s="59">
        <f t="shared" si="47"/>
        <v>159</v>
      </c>
      <c r="Y76" s="59">
        <f t="shared" si="48"/>
        <v>80</v>
      </c>
      <c r="Z76" s="58"/>
      <c r="AA76" s="1">
        <v>21</v>
      </c>
      <c r="AB76" s="1">
        <v>29</v>
      </c>
      <c r="AC76" s="1">
        <v>11</v>
      </c>
      <c r="AD76" s="1">
        <v>16</v>
      </c>
      <c r="AE76" s="1">
        <v>47</v>
      </c>
      <c r="AF76" s="1">
        <f t="shared" si="49"/>
        <v>124</v>
      </c>
      <c r="AG76" s="1">
        <f t="shared" si="50"/>
        <v>62</v>
      </c>
      <c r="AH76" s="10"/>
      <c r="AI76" s="1">
        <v>22</v>
      </c>
      <c r="AJ76" s="1">
        <v>38</v>
      </c>
      <c r="AK76" s="1">
        <v>13</v>
      </c>
      <c r="AL76" s="1">
        <v>19</v>
      </c>
      <c r="AM76" s="1">
        <v>59</v>
      </c>
      <c r="AN76" s="1">
        <f t="shared" si="51"/>
        <v>151</v>
      </c>
      <c r="AO76" s="1">
        <f t="shared" si="52"/>
        <v>76</v>
      </c>
      <c r="AP76" s="10"/>
      <c r="AQ76" s="1">
        <v>10</v>
      </c>
      <c r="AR76" s="1">
        <v>14</v>
      </c>
      <c r="AS76" s="1">
        <v>5</v>
      </c>
      <c r="AT76" s="1">
        <v>17</v>
      </c>
      <c r="AU76" s="1">
        <v>4</v>
      </c>
      <c r="AV76" s="1">
        <v>9</v>
      </c>
      <c r="AW76" s="1">
        <v>2.5</v>
      </c>
      <c r="AX76" s="1">
        <v>20</v>
      </c>
      <c r="AY76" s="1">
        <f t="shared" si="42"/>
        <v>14</v>
      </c>
      <c r="AZ76" s="1">
        <f t="shared" si="41"/>
        <v>23</v>
      </c>
      <c r="BA76" s="1">
        <f t="shared" si="40"/>
        <v>8</v>
      </c>
      <c r="BB76" s="1">
        <v>14</v>
      </c>
      <c r="BC76" s="1">
        <f t="shared" si="36"/>
        <v>37</v>
      </c>
      <c r="BD76" s="1">
        <f t="shared" si="37"/>
        <v>96</v>
      </c>
      <c r="BE76" s="1">
        <f t="shared" si="38"/>
        <v>48</v>
      </c>
      <c r="BF76" s="1"/>
      <c r="BG76" s="1"/>
      <c r="BH76" s="1"/>
      <c r="BI76" s="10"/>
      <c r="BJ76" s="10"/>
      <c r="BK76" s="10"/>
      <c r="BL76" s="10"/>
      <c r="BM76" s="10"/>
      <c r="BN76" s="10"/>
      <c r="BO76" s="10" t="s">
        <v>371</v>
      </c>
      <c r="BP76" s="10" t="s">
        <v>371</v>
      </c>
      <c r="BQ76" s="50"/>
      <c r="BR76" s="50">
        <f t="shared" si="54"/>
        <v>392</v>
      </c>
      <c r="BS76" s="51">
        <f t="shared" si="55"/>
        <v>65.333333333333329</v>
      </c>
      <c r="BT76" s="52" t="str">
        <f t="shared" si="53"/>
        <v>GRADE I</v>
      </c>
      <c r="BU76" s="10"/>
    </row>
    <row r="77" spans="1:73" ht="18" customHeight="1" x14ac:dyDescent="0.25">
      <c r="A77" s="2">
        <v>72</v>
      </c>
      <c r="B77" s="6" t="s">
        <v>199</v>
      </c>
      <c r="C77" s="1">
        <v>9</v>
      </c>
      <c r="D77" s="1">
        <v>19</v>
      </c>
      <c r="E77" s="1">
        <v>16</v>
      </c>
      <c r="F77" s="1">
        <v>12</v>
      </c>
      <c r="G77" s="1">
        <v>32</v>
      </c>
      <c r="H77" s="1">
        <f t="shared" si="43"/>
        <v>88</v>
      </c>
      <c r="I77" s="1">
        <f t="shared" si="44"/>
        <v>44</v>
      </c>
      <c r="J77" s="10"/>
      <c r="K77" s="1">
        <v>13</v>
      </c>
      <c r="L77" s="1">
        <v>13</v>
      </c>
      <c r="M77" s="1">
        <v>11</v>
      </c>
      <c r="N77" s="1">
        <v>12</v>
      </c>
      <c r="O77" s="1">
        <v>27</v>
      </c>
      <c r="P77" s="1">
        <f t="shared" si="45"/>
        <v>76</v>
      </c>
      <c r="Q77" s="1">
        <f t="shared" si="46"/>
        <v>38</v>
      </c>
      <c r="R77" s="1"/>
      <c r="S77" s="59">
        <v>8</v>
      </c>
      <c r="T77" s="59">
        <v>14</v>
      </c>
      <c r="U77" s="59">
        <v>2</v>
      </c>
      <c r="V77" s="59">
        <v>13</v>
      </c>
      <c r="W77" s="59">
        <v>33</v>
      </c>
      <c r="X77" s="59">
        <f t="shared" si="47"/>
        <v>70</v>
      </c>
      <c r="Y77" s="59">
        <f t="shared" si="48"/>
        <v>35</v>
      </c>
      <c r="Z77" s="58"/>
      <c r="AA77" s="1">
        <v>5</v>
      </c>
      <c r="AB77" s="1">
        <v>7</v>
      </c>
      <c r="AC77" s="1">
        <v>7</v>
      </c>
      <c r="AD77" s="1">
        <v>7</v>
      </c>
      <c r="AE77" s="1">
        <v>32</v>
      </c>
      <c r="AF77" s="1">
        <f t="shared" si="49"/>
        <v>58</v>
      </c>
      <c r="AG77" s="1">
        <f t="shared" si="50"/>
        <v>29</v>
      </c>
      <c r="AH77" s="10">
        <v>6</v>
      </c>
      <c r="AI77" s="1">
        <v>6</v>
      </c>
      <c r="AJ77" s="1">
        <v>9</v>
      </c>
      <c r="AK77" s="1">
        <v>3</v>
      </c>
      <c r="AL77" s="1">
        <v>15</v>
      </c>
      <c r="AM77" s="1">
        <v>36</v>
      </c>
      <c r="AN77" s="1">
        <f t="shared" si="51"/>
        <v>69</v>
      </c>
      <c r="AO77" s="1">
        <f t="shared" si="52"/>
        <v>35</v>
      </c>
      <c r="AP77" s="10"/>
      <c r="AQ77" s="1">
        <v>10</v>
      </c>
      <c r="AR77" s="1">
        <v>0</v>
      </c>
      <c r="AS77" s="1">
        <v>2</v>
      </c>
      <c r="AT77" s="1">
        <v>11</v>
      </c>
      <c r="AU77" s="1">
        <v>5</v>
      </c>
      <c r="AV77" s="1">
        <v>5.5</v>
      </c>
      <c r="AW77" s="1">
        <v>1</v>
      </c>
      <c r="AX77" s="1">
        <v>13</v>
      </c>
      <c r="AY77" s="1">
        <f t="shared" si="42"/>
        <v>15</v>
      </c>
      <c r="AZ77" s="1">
        <f t="shared" si="41"/>
        <v>6</v>
      </c>
      <c r="BA77" s="1">
        <f t="shared" si="40"/>
        <v>3</v>
      </c>
      <c r="BB77" s="1">
        <v>11</v>
      </c>
      <c r="BC77" s="1">
        <f t="shared" ref="BC77:BC108" si="56">ROUND(AT77+AX77,0)</f>
        <v>24</v>
      </c>
      <c r="BD77" s="1">
        <f t="shared" ref="BD77:BD108" si="57">SUM(AY77:BC77)</f>
        <v>59</v>
      </c>
      <c r="BE77" s="1">
        <f t="shared" ref="BE77:BE108" si="58">ROUND(BD77/2,0)</f>
        <v>30</v>
      </c>
      <c r="BF77" s="1">
        <v>5</v>
      </c>
      <c r="BG77" s="1"/>
      <c r="BH77" s="1"/>
      <c r="BI77" s="10"/>
      <c r="BJ77" s="10"/>
      <c r="BK77" s="10"/>
      <c r="BL77" s="10"/>
      <c r="BM77" s="10"/>
      <c r="BN77" s="10"/>
      <c r="BO77" s="10" t="s">
        <v>373</v>
      </c>
      <c r="BP77" s="10" t="s">
        <v>372</v>
      </c>
      <c r="BQ77" s="50">
        <v>11</v>
      </c>
      <c r="BR77" s="50">
        <f t="shared" si="54"/>
        <v>211</v>
      </c>
      <c r="BS77" s="51">
        <f t="shared" si="55"/>
        <v>35.166666666666664</v>
      </c>
      <c r="BT77" s="52" t="s">
        <v>375</v>
      </c>
      <c r="BU77" s="10"/>
    </row>
    <row r="78" spans="1:73" ht="18" customHeight="1" x14ac:dyDescent="0.25">
      <c r="A78" s="2">
        <v>73</v>
      </c>
      <c r="B78" s="5" t="s">
        <v>200</v>
      </c>
      <c r="C78" s="1">
        <v>4</v>
      </c>
      <c r="D78" s="1">
        <v>11</v>
      </c>
      <c r="E78" s="1">
        <v>7</v>
      </c>
      <c r="F78" s="1">
        <v>11</v>
      </c>
      <c r="G78" s="1">
        <v>31</v>
      </c>
      <c r="H78" s="1">
        <f t="shared" si="43"/>
        <v>64</v>
      </c>
      <c r="I78" s="1">
        <f t="shared" si="44"/>
        <v>32</v>
      </c>
      <c r="J78" s="10"/>
      <c r="K78" s="1">
        <v>4</v>
      </c>
      <c r="L78" s="1">
        <v>15</v>
      </c>
      <c r="M78" s="1">
        <v>3</v>
      </c>
      <c r="N78" s="1">
        <v>12</v>
      </c>
      <c r="O78" s="1">
        <v>19</v>
      </c>
      <c r="P78" s="1">
        <f t="shared" si="45"/>
        <v>53</v>
      </c>
      <c r="Q78" s="1">
        <f t="shared" si="46"/>
        <v>27</v>
      </c>
      <c r="R78" s="1"/>
      <c r="S78" s="59">
        <v>8</v>
      </c>
      <c r="T78" s="59">
        <v>14</v>
      </c>
      <c r="U78" s="59">
        <v>5</v>
      </c>
      <c r="V78" s="59">
        <v>11</v>
      </c>
      <c r="W78" s="59">
        <v>30</v>
      </c>
      <c r="X78" s="59">
        <f t="shared" si="47"/>
        <v>68</v>
      </c>
      <c r="Y78" s="59">
        <f t="shared" si="48"/>
        <v>34</v>
      </c>
      <c r="Z78" s="58"/>
      <c r="AA78" s="1">
        <v>11</v>
      </c>
      <c r="AB78" s="1">
        <v>4</v>
      </c>
      <c r="AC78" s="1">
        <v>8</v>
      </c>
      <c r="AD78" s="1">
        <v>9</v>
      </c>
      <c r="AE78" s="1">
        <v>6</v>
      </c>
      <c r="AF78" s="1">
        <f t="shared" si="49"/>
        <v>38</v>
      </c>
      <c r="AG78" s="1">
        <f t="shared" si="50"/>
        <v>19</v>
      </c>
      <c r="AH78" s="10"/>
      <c r="AI78" s="1">
        <v>5</v>
      </c>
      <c r="AJ78" s="1">
        <v>6</v>
      </c>
      <c r="AK78" s="1">
        <v>2</v>
      </c>
      <c r="AL78" s="1">
        <v>8</v>
      </c>
      <c r="AM78" s="1">
        <v>24</v>
      </c>
      <c r="AN78" s="1">
        <f t="shared" si="51"/>
        <v>45</v>
      </c>
      <c r="AO78" s="1">
        <f t="shared" si="52"/>
        <v>23</v>
      </c>
      <c r="AP78" s="10"/>
      <c r="AQ78" s="1">
        <v>2</v>
      </c>
      <c r="AR78" s="1">
        <v>0</v>
      </c>
      <c r="AS78" s="1">
        <v>2</v>
      </c>
      <c r="AT78" s="1">
        <v>10</v>
      </c>
      <c r="AU78" s="1">
        <v>1</v>
      </c>
      <c r="AV78" s="1">
        <v>5</v>
      </c>
      <c r="AW78" s="1">
        <v>0</v>
      </c>
      <c r="AX78" s="1">
        <v>8</v>
      </c>
      <c r="AY78" s="1">
        <f t="shared" si="42"/>
        <v>3</v>
      </c>
      <c r="AZ78" s="1">
        <f t="shared" si="41"/>
        <v>5</v>
      </c>
      <c r="BA78" s="1">
        <f t="shared" si="40"/>
        <v>2</v>
      </c>
      <c r="BB78" s="1">
        <v>2</v>
      </c>
      <c r="BC78" s="1">
        <f t="shared" si="56"/>
        <v>18</v>
      </c>
      <c r="BD78" s="1">
        <f t="shared" si="57"/>
        <v>30</v>
      </c>
      <c r="BE78" s="1">
        <f t="shared" si="58"/>
        <v>15</v>
      </c>
      <c r="BF78" s="1"/>
      <c r="BG78" s="1"/>
      <c r="BH78" s="1"/>
      <c r="BI78" s="10"/>
      <c r="BJ78" s="10"/>
      <c r="BK78" s="10"/>
      <c r="BL78" s="10"/>
      <c r="BM78" s="10"/>
      <c r="BN78" s="10"/>
      <c r="BO78" s="10" t="s">
        <v>374</v>
      </c>
      <c r="BP78" s="10" t="s">
        <v>372</v>
      </c>
      <c r="BQ78" s="50"/>
      <c r="BR78" s="50">
        <f t="shared" si="54"/>
        <v>150</v>
      </c>
      <c r="BS78" s="51">
        <f t="shared" si="55"/>
        <v>25</v>
      </c>
      <c r="BT78" s="52" t="str">
        <f t="shared" si="53"/>
        <v>FAIL</v>
      </c>
      <c r="BU78" s="10"/>
    </row>
    <row r="79" spans="1:73" ht="18" customHeight="1" x14ac:dyDescent="0.25">
      <c r="A79" s="2">
        <v>74</v>
      </c>
      <c r="B79" s="5" t="s">
        <v>201</v>
      </c>
      <c r="C79" s="1">
        <v>11</v>
      </c>
      <c r="D79" s="1">
        <v>32</v>
      </c>
      <c r="E79" s="1">
        <v>17</v>
      </c>
      <c r="F79" s="1">
        <v>18</v>
      </c>
      <c r="G79" s="1">
        <v>54</v>
      </c>
      <c r="H79" s="1">
        <f t="shared" si="43"/>
        <v>132</v>
      </c>
      <c r="I79" s="1">
        <f t="shared" si="44"/>
        <v>66</v>
      </c>
      <c r="J79" s="10"/>
      <c r="K79" s="1">
        <v>20</v>
      </c>
      <c r="L79" s="1">
        <v>41</v>
      </c>
      <c r="M79" s="1">
        <v>20</v>
      </c>
      <c r="N79" s="1">
        <v>17</v>
      </c>
      <c r="O79" s="1">
        <v>62</v>
      </c>
      <c r="P79" s="1">
        <f t="shared" si="45"/>
        <v>160</v>
      </c>
      <c r="Q79" s="1">
        <f t="shared" si="46"/>
        <v>80</v>
      </c>
      <c r="R79" s="1"/>
      <c r="S79" s="59">
        <v>23</v>
      </c>
      <c r="T79" s="59">
        <v>49</v>
      </c>
      <c r="U79" s="59">
        <v>23</v>
      </c>
      <c r="V79" s="59">
        <v>19</v>
      </c>
      <c r="W79" s="59">
        <v>75</v>
      </c>
      <c r="X79" s="59">
        <f t="shared" si="47"/>
        <v>189</v>
      </c>
      <c r="Y79" s="59">
        <f t="shared" si="48"/>
        <v>95</v>
      </c>
      <c r="Z79" s="58"/>
      <c r="AA79" s="1">
        <v>24</v>
      </c>
      <c r="AB79" s="1">
        <v>39</v>
      </c>
      <c r="AC79" s="1">
        <v>22</v>
      </c>
      <c r="AD79" s="1">
        <v>19</v>
      </c>
      <c r="AE79" s="1">
        <v>69</v>
      </c>
      <c r="AF79" s="1">
        <f t="shared" si="49"/>
        <v>173</v>
      </c>
      <c r="AG79" s="1">
        <f t="shared" si="50"/>
        <v>87</v>
      </c>
      <c r="AH79" s="10"/>
      <c r="AI79" s="1">
        <v>22</v>
      </c>
      <c r="AJ79" s="1">
        <v>49</v>
      </c>
      <c r="AK79" s="1">
        <v>23</v>
      </c>
      <c r="AL79" s="1">
        <v>20</v>
      </c>
      <c r="AM79" s="1">
        <v>75</v>
      </c>
      <c r="AN79" s="1">
        <f t="shared" si="51"/>
        <v>189</v>
      </c>
      <c r="AO79" s="1">
        <f t="shared" si="52"/>
        <v>95</v>
      </c>
      <c r="AP79" s="10"/>
      <c r="AQ79" s="1">
        <v>12</v>
      </c>
      <c r="AR79" s="1">
        <v>23</v>
      </c>
      <c r="AS79" s="1">
        <v>7</v>
      </c>
      <c r="AT79" s="1">
        <v>26</v>
      </c>
      <c r="AU79" s="1">
        <v>9</v>
      </c>
      <c r="AV79" s="1">
        <v>17.5</v>
      </c>
      <c r="AW79" s="1">
        <v>8.5</v>
      </c>
      <c r="AX79" s="1">
        <v>30</v>
      </c>
      <c r="AY79" s="1">
        <f t="shared" si="42"/>
        <v>21</v>
      </c>
      <c r="AZ79" s="1">
        <f t="shared" si="41"/>
        <v>41</v>
      </c>
      <c r="BA79" s="1">
        <f t="shared" si="40"/>
        <v>16</v>
      </c>
      <c r="BB79" s="1">
        <v>20</v>
      </c>
      <c r="BC79" s="1">
        <f t="shared" si="56"/>
        <v>56</v>
      </c>
      <c r="BD79" s="1">
        <f t="shared" si="57"/>
        <v>154</v>
      </c>
      <c r="BE79" s="1">
        <f t="shared" si="58"/>
        <v>77</v>
      </c>
      <c r="BF79" s="1"/>
      <c r="BG79" s="1"/>
      <c r="BH79" s="1"/>
      <c r="BI79" s="10"/>
      <c r="BJ79" s="10"/>
      <c r="BK79" s="10"/>
      <c r="BL79" s="10"/>
      <c r="BM79" s="10"/>
      <c r="BN79" s="10"/>
      <c r="BO79" s="10" t="s">
        <v>371</v>
      </c>
      <c r="BP79" s="10" t="s">
        <v>371</v>
      </c>
      <c r="BQ79" s="50"/>
      <c r="BR79" s="50">
        <f t="shared" si="54"/>
        <v>500</v>
      </c>
      <c r="BS79" s="51">
        <f t="shared" si="55"/>
        <v>83.333333333333329</v>
      </c>
      <c r="BT79" s="52" t="str">
        <f t="shared" si="53"/>
        <v>GRADE I with Distinction</v>
      </c>
      <c r="BU79" s="10"/>
    </row>
    <row r="80" spans="1:73" ht="18" customHeight="1" x14ac:dyDescent="0.25">
      <c r="A80" s="2">
        <v>75</v>
      </c>
      <c r="B80" s="5" t="s">
        <v>202</v>
      </c>
      <c r="C80" s="1">
        <v>2</v>
      </c>
      <c r="D80" s="1">
        <v>8</v>
      </c>
      <c r="E80" s="1">
        <v>7</v>
      </c>
      <c r="F80" s="1">
        <v>12</v>
      </c>
      <c r="G80" s="1">
        <v>40</v>
      </c>
      <c r="H80" s="1">
        <f t="shared" si="43"/>
        <v>69</v>
      </c>
      <c r="I80" s="1">
        <f t="shared" si="44"/>
        <v>35</v>
      </c>
      <c r="J80" s="10"/>
      <c r="K80" s="1">
        <v>13</v>
      </c>
      <c r="L80" s="1">
        <v>27</v>
      </c>
      <c r="M80" s="1">
        <v>12</v>
      </c>
      <c r="N80" s="1">
        <v>14</v>
      </c>
      <c r="O80" s="1">
        <v>30</v>
      </c>
      <c r="P80" s="1">
        <f t="shared" si="45"/>
        <v>96</v>
      </c>
      <c r="Q80" s="1">
        <f t="shared" si="46"/>
        <v>48</v>
      </c>
      <c r="R80" s="1"/>
      <c r="S80" s="59">
        <v>13</v>
      </c>
      <c r="T80" s="59">
        <v>26</v>
      </c>
      <c r="U80" s="59">
        <v>13</v>
      </c>
      <c r="V80" s="59">
        <v>9</v>
      </c>
      <c r="W80" s="59">
        <v>47</v>
      </c>
      <c r="X80" s="59">
        <f t="shared" si="47"/>
        <v>108</v>
      </c>
      <c r="Y80" s="59">
        <f t="shared" si="48"/>
        <v>54</v>
      </c>
      <c r="Z80" s="58"/>
      <c r="AA80" s="1">
        <v>13</v>
      </c>
      <c r="AB80" s="1">
        <v>13</v>
      </c>
      <c r="AC80" s="1">
        <v>7</v>
      </c>
      <c r="AD80" s="1">
        <v>16</v>
      </c>
      <c r="AE80" s="1">
        <v>47</v>
      </c>
      <c r="AF80" s="1">
        <f t="shared" si="49"/>
        <v>96</v>
      </c>
      <c r="AG80" s="1">
        <f t="shared" si="50"/>
        <v>48</v>
      </c>
      <c r="AH80" s="10"/>
      <c r="AI80" s="1">
        <v>14</v>
      </c>
      <c r="AJ80" s="1">
        <v>28</v>
      </c>
      <c r="AK80" s="1">
        <v>12</v>
      </c>
      <c r="AL80" s="1">
        <v>16</v>
      </c>
      <c r="AM80" s="1">
        <v>37</v>
      </c>
      <c r="AN80" s="1">
        <f t="shared" si="51"/>
        <v>107</v>
      </c>
      <c r="AO80" s="1">
        <f t="shared" si="52"/>
        <v>54</v>
      </c>
      <c r="AP80" s="10"/>
      <c r="AQ80" s="1">
        <v>3.5</v>
      </c>
      <c r="AR80" s="1">
        <v>11.5</v>
      </c>
      <c r="AS80" s="1">
        <v>4</v>
      </c>
      <c r="AT80" s="1">
        <v>14</v>
      </c>
      <c r="AU80" s="1">
        <v>7</v>
      </c>
      <c r="AV80" s="1">
        <v>13</v>
      </c>
      <c r="AW80" s="1">
        <v>2.5</v>
      </c>
      <c r="AX80" s="1">
        <v>14</v>
      </c>
      <c r="AY80" s="1">
        <f t="shared" si="42"/>
        <v>11</v>
      </c>
      <c r="AZ80" s="1">
        <f t="shared" si="41"/>
        <v>25</v>
      </c>
      <c r="BA80" s="1">
        <f t="shared" si="40"/>
        <v>7</v>
      </c>
      <c r="BB80" s="1">
        <v>18</v>
      </c>
      <c r="BC80" s="1">
        <f t="shared" si="56"/>
        <v>28</v>
      </c>
      <c r="BD80" s="1">
        <f t="shared" si="57"/>
        <v>89</v>
      </c>
      <c r="BE80" s="1">
        <f t="shared" si="58"/>
        <v>45</v>
      </c>
      <c r="BF80" s="1"/>
      <c r="BG80" s="1"/>
      <c r="BH80" s="1"/>
      <c r="BI80" s="10"/>
      <c r="BJ80" s="10"/>
      <c r="BK80" s="10"/>
      <c r="BL80" s="10"/>
      <c r="BM80" s="10"/>
      <c r="BN80" s="10"/>
      <c r="BO80" s="10" t="s">
        <v>371</v>
      </c>
      <c r="BP80" s="10" t="s">
        <v>371</v>
      </c>
      <c r="BQ80" s="50"/>
      <c r="BR80" s="50">
        <f t="shared" si="54"/>
        <v>284</v>
      </c>
      <c r="BS80" s="51">
        <f t="shared" si="55"/>
        <v>47.333333333333336</v>
      </c>
      <c r="BT80" s="52" t="str">
        <f t="shared" si="53"/>
        <v>GRADE II</v>
      </c>
      <c r="BU80" s="10"/>
    </row>
    <row r="81" spans="1:73" ht="18" customHeight="1" x14ac:dyDescent="0.25">
      <c r="A81" s="2">
        <v>76</v>
      </c>
      <c r="B81" s="5" t="s">
        <v>203</v>
      </c>
      <c r="C81" s="1">
        <v>14</v>
      </c>
      <c r="D81" s="1">
        <v>21</v>
      </c>
      <c r="E81" s="1">
        <v>14</v>
      </c>
      <c r="F81" s="1">
        <v>17</v>
      </c>
      <c r="G81" s="1">
        <v>48</v>
      </c>
      <c r="H81" s="1">
        <f t="shared" si="43"/>
        <v>114</v>
      </c>
      <c r="I81" s="1">
        <f t="shared" si="44"/>
        <v>57</v>
      </c>
      <c r="J81" s="10"/>
      <c r="K81" s="1">
        <v>20</v>
      </c>
      <c r="L81" s="1">
        <v>29</v>
      </c>
      <c r="M81" s="1">
        <v>19</v>
      </c>
      <c r="N81" s="1">
        <v>16</v>
      </c>
      <c r="O81" s="1">
        <v>50</v>
      </c>
      <c r="P81" s="1">
        <f t="shared" si="45"/>
        <v>134</v>
      </c>
      <c r="Q81" s="1">
        <f t="shared" si="46"/>
        <v>67</v>
      </c>
      <c r="R81" s="1"/>
      <c r="S81" s="59">
        <v>21</v>
      </c>
      <c r="T81" s="59">
        <v>32</v>
      </c>
      <c r="U81" s="59">
        <v>9</v>
      </c>
      <c r="V81" s="59">
        <v>19</v>
      </c>
      <c r="W81" s="59">
        <v>61</v>
      </c>
      <c r="X81" s="59">
        <f t="shared" si="47"/>
        <v>142</v>
      </c>
      <c r="Y81" s="59">
        <f t="shared" si="48"/>
        <v>71</v>
      </c>
      <c r="Z81" s="58"/>
      <c r="AA81" s="1">
        <v>24</v>
      </c>
      <c r="AB81" s="1">
        <v>29</v>
      </c>
      <c r="AC81" s="1">
        <v>24</v>
      </c>
      <c r="AD81" s="1">
        <v>19</v>
      </c>
      <c r="AE81" s="1">
        <v>54</v>
      </c>
      <c r="AF81" s="1">
        <f t="shared" si="49"/>
        <v>150</v>
      </c>
      <c r="AG81" s="1">
        <f t="shared" si="50"/>
        <v>75</v>
      </c>
      <c r="AH81" s="10"/>
      <c r="AI81" s="1">
        <v>21</v>
      </c>
      <c r="AJ81" s="1">
        <v>28</v>
      </c>
      <c r="AK81" s="1">
        <v>18</v>
      </c>
      <c r="AL81" s="1">
        <v>17</v>
      </c>
      <c r="AM81" s="1">
        <v>66</v>
      </c>
      <c r="AN81" s="1">
        <f t="shared" si="51"/>
        <v>150</v>
      </c>
      <c r="AO81" s="1">
        <f t="shared" si="52"/>
        <v>75</v>
      </c>
      <c r="AP81" s="10"/>
      <c r="AQ81" s="1">
        <v>12</v>
      </c>
      <c r="AR81" s="1">
        <v>21</v>
      </c>
      <c r="AS81" s="1">
        <v>7</v>
      </c>
      <c r="AT81" s="1">
        <v>29</v>
      </c>
      <c r="AU81" s="1">
        <v>6</v>
      </c>
      <c r="AV81" s="1">
        <v>15.5</v>
      </c>
      <c r="AW81" s="1">
        <v>8</v>
      </c>
      <c r="AX81" s="1">
        <v>32</v>
      </c>
      <c r="AY81" s="1">
        <f t="shared" si="42"/>
        <v>18</v>
      </c>
      <c r="AZ81" s="1">
        <f t="shared" si="41"/>
        <v>37</v>
      </c>
      <c r="BA81" s="1">
        <f t="shared" si="40"/>
        <v>15</v>
      </c>
      <c r="BB81" s="1">
        <v>20</v>
      </c>
      <c r="BC81" s="1">
        <f t="shared" si="56"/>
        <v>61</v>
      </c>
      <c r="BD81" s="1">
        <f t="shared" si="57"/>
        <v>151</v>
      </c>
      <c r="BE81" s="1">
        <f t="shared" si="58"/>
        <v>76</v>
      </c>
      <c r="BF81" s="1"/>
      <c r="BG81" s="1"/>
      <c r="BH81" s="1"/>
      <c r="BI81" s="10"/>
      <c r="BJ81" s="10"/>
      <c r="BK81" s="10"/>
      <c r="BL81" s="10"/>
      <c r="BM81" s="10"/>
      <c r="BN81" s="10"/>
      <c r="BO81" s="10" t="s">
        <v>371</v>
      </c>
      <c r="BP81" s="10" t="s">
        <v>371</v>
      </c>
      <c r="BQ81" s="50"/>
      <c r="BR81" s="50">
        <f t="shared" si="54"/>
        <v>421</v>
      </c>
      <c r="BS81" s="51">
        <f t="shared" si="55"/>
        <v>70.166666666666671</v>
      </c>
      <c r="BT81" s="52" t="str">
        <f t="shared" si="53"/>
        <v>GRADE I</v>
      </c>
      <c r="BU81" s="10"/>
    </row>
    <row r="82" spans="1:73" ht="18" customHeight="1" x14ac:dyDescent="0.25">
      <c r="A82" s="2">
        <v>77</v>
      </c>
      <c r="B82" s="5" t="s">
        <v>204</v>
      </c>
      <c r="C82" s="1">
        <v>15</v>
      </c>
      <c r="D82" s="1">
        <v>34</v>
      </c>
      <c r="E82" s="1">
        <v>16</v>
      </c>
      <c r="F82" s="1">
        <v>16</v>
      </c>
      <c r="G82" s="1">
        <v>54</v>
      </c>
      <c r="H82" s="1">
        <f t="shared" si="43"/>
        <v>135</v>
      </c>
      <c r="I82" s="1">
        <f t="shared" si="44"/>
        <v>68</v>
      </c>
      <c r="J82" s="10"/>
      <c r="K82" s="1">
        <v>18</v>
      </c>
      <c r="L82" s="1">
        <v>39</v>
      </c>
      <c r="M82" s="1">
        <v>19</v>
      </c>
      <c r="N82" s="1">
        <v>16</v>
      </c>
      <c r="O82" s="1">
        <v>58</v>
      </c>
      <c r="P82" s="1">
        <f t="shared" si="45"/>
        <v>150</v>
      </c>
      <c r="Q82" s="1">
        <f t="shared" si="46"/>
        <v>75</v>
      </c>
      <c r="R82" s="1"/>
      <c r="S82" s="59">
        <v>25</v>
      </c>
      <c r="T82" s="59">
        <v>47</v>
      </c>
      <c r="U82" s="59">
        <v>23</v>
      </c>
      <c r="V82" s="59">
        <v>19</v>
      </c>
      <c r="W82" s="59">
        <v>69</v>
      </c>
      <c r="X82" s="59">
        <f t="shared" si="47"/>
        <v>183</v>
      </c>
      <c r="Y82" s="59">
        <f t="shared" si="48"/>
        <v>92</v>
      </c>
      <c r="Z82" s="58"/>
      <c r="AA82" s="1">
        <v>24</v>
      </c>
      <c r="AB82" s="1">
        <v>29</v>
      </c>
      <c r="AC82" s="1">
        <v>22</v>
      </c>
      <c r="AD82" s="1">
        <v>20</v>
      </c>
      <c r="AE82" s="1">
        <v>64</v>
      </c>
      <c r="AF82" s="1">
        <f t="shared" si="49"/>
        <v>159</v>
      </c>
      <c r="AG82" s="1">
        <f t="shared" si="50"/>
        <v>80</v>
      </c>
      <c r="AH82" s="10"/>
      <c r="AI82" s="1">
        <v>19</v>
      </c>
      <c r="AJ82" s="1">
        <v>46</v>
      </c>
      <c r="AK82" s="1">
        <v>22</v>
      </c>
      <c r="AL82" s="1">
        <v>17</v>
      </c>
      <c r="AM82" s="1">
        <v>77</v>
      </c>
      <c r="AN82" s="1">
        <f t="shared" si="51"/>
        <v>181</v>
      </c>
      <c r="AO82" s="1">
        <f t="shared" si="52"/>
        <v>91</v>
      </c>
      <c r="AP82" s="10"/>
      <c r="AQ82" s="1">
        <v>13</v>
      </c>
      <c r="AR82" s="1">
        <v>17</v>
      </c>
      <c r="AS82" s="1">
        <v>5.5</v>
      </c>
      <c r="AT82" s="1">
        <v>28</v>
      </c>
      <c r="AU82" s="1">
        <v>6.5</v>
      </c>
      <c r="AV82" s="1">
        <v>19</v>
      </c>
      <c r="AW82" s="1">
        <v>10</v>
      </c>
      <c r="AX82" s="1">
        <v>36</v>
      </c>
      <c r="AY82" s="1">
        <f t="shared" si="42"/>
        <v>20</v>
      </c>
      <c r="AZ82" s="1">
        <f t="shared" si="41"/>
        <v>36</v>
      </c>
      <c r="BA82" s="1">
        <f t="shared" si="40"/>
        <v>16</v>
      </c>
      <c r="BB82" s="1">
        <v>14</v>
      </c>
      <c r="BC82" s="1">
        <f t="shared" si="56"/>
        <v>64</v>
      </c>
      <c r="BD82" s="1">
        <f t="shared" si="57"/>
        <v>150</v>
      </c>
      <c r="BE82" s="1">
        <f t="shared" si="58"/>
        <v>75</v>
      </c>
      <c r="BF82" s="1"/>
      <c r="BG82" s="1"/>
      <c r="BH82" s="1"/>
      <c r="BI82" s="10"/>
      <c r="BJ82" s="10"/>
      <c r="BK82" s="10"/>
      <c r="BL82" s="10"/>
      <c r="BM82" s="10"/>
      <c r="BN82" s="10"/>
      <c r="BO82" s="10" t="s">
        <v>371</v>
      </c>
      <c r="BP82" s="10" t="s">
        <v>371</v>
      </c>
      <c r="BQ82" s="50"/>
      <c r="BR82" s="50">
        <f t="shared" si="54"/>
        <v>481</v>
      </c>
      <c r="BS82" s="51">
        <f t="shared" si="55"/>
        <v>80.166666666666671</v>
      </c>
      <c r="BT82" s="52" t="str">
        <f t="shared" si="53"/>
        <v>GRADE I with Distinction</v>
      </c>
      <c r="BU82" s="10"/>
    </row>
    <row r="83" spans="1:73" ht="18" customHeight="1" x14ac:dyDescent="0.25">
      <c r="A83" s="2">
        <v>78</v>
      </c>
      <c r="B83" s="5" t="s">
        <v>205</v>
      </c>
      <c r="C83" s="1">
        <v>6</v>
      </c>
      <c r="D83" s="1">
        <v>20</v>
      </c>
      <c r="E83" s="1">
        <v>17</v>
      </c>
      <c r="F83" s="1">
        <v>14</v>
      </c>
      <c r="G83" s="1">
        <v>42</v>
      </c>
      <c r="H83" s="1">
        <f t="shared" si="43"/>
        <v>99</v>
      </c>
      <c r="I83" s="1">
        <f t="shared" si="44"/>
        <v>50</v>
      </c>
      <c r="J83" s="10"/>
      <c r="K83" s="1">
        <v>23</v>
      </c>
      <c r="L83" s="1">
        <v>44</v>
      </c>
      <c r="M83" s="1">
        <v>20</v>
      </c>
      <c r="N83" s="1">
        <v>18</v>
      </c>
      <c r="O83" s="1">
        <v>65</v>
      </c>
      <c r="P83" s="1">
        <f t="shared" si="45"/>
        <v>170</v>
      </c>
      <c r="Q83" s="1">
        <f t="shared" si="46"/>
        <v>85</v>
      </c>
      <c r="R83" s="1"/>
      <c r="S83" s="59">
        <v>22</v>
      </c>
      <c r="T83" s="59">
        <v>46</v>
      </c>
      <c r="U83" s="59">
        <v>20</v>
      </c>
      <c r="V83" s="59">
        <v>19</v>
      </c>
      <c r="W83" s="59">
        <v>69</v>
      </c>
      <c r="X83" s="59">
        <f t="shared" si="47"/>
        <v>176</v>
      </c>
      <c r="Y83" s="59">
        <f t="shared" si="48"/>
        <v>88</v>
      </c>
      <c r="Z83" s="58"/>
      <c r="AA83" s="1">
        <v>25</v>
      </c>
      <c r="AB83" s="1">
        <v>29</v>
      </c>
      <c r="AC83" s="1">
        <v>25</v>
      </c>
      <c r="AD83" s="1">
        <v>19</v>
      </c>
      <c r="AE83" s="1">
        <v>53</v>
      </c>
      <c r="AF83" s="1">
        <f t="shared" si="49"/>
        <v>151</v>
      </c>
      <c r="AG83" s="1">
        <f t="shared" si="50"/>
        <v>76</v>
      </c>
      <c r="AH83" s="10"/>
      <c r="AI83" s="1">
        <v>22</v>
      </c>
      <c r="AJ83" s="1">
        <v>49</v>
      </c>
      <c r="AK83" s="1">
        <v>24</v>
      </c>
      <c r="AL83" s="1">
        <v>20</v>
      </c>
      <c r="AM83" s="1">
        <v>75</v>
      </c>
      <c r="AN83" s="1">
        <f t="shared" si="51"/>
        <v>190</v>
      </c>
      <c r="AO83" s="1">
        <f t="shared" si="52"/>
        <v>95</v>
      </c>
      <c r="AP83" s="10"/>
      <c r="AQ83" s="1">
        <v>12</v>
      </c>
      <c r="AR83" s="1">
        <v>23</v>
      </c>
      <c r="AS83" s="1">
        <v>12</v>
      </c>
      <c r="AT83" s="1">
        <v>36</v>
      </c>
      <c r="AU83" s="1">
        <v>9</v>
      </c>
      <c r="AV83" s="1">
        <v>20</v>
      </c>
      <c r="AW83" s="1">
        <v>9</v>
      </c>
      <c r="AX83" s="1">
        <v>30</v>
      </c>
      <c r="AY83" s="1">
        <f t="shared" si="42"/>
        <v>21</v>
      </c>
      <c r="AZ83" s="1">
        <f t="shared" si="41"/>
        <v>43</v>
      </c>
      <c r="BA83" s="1">
        <f t="shared" si="40"/>
        <v>21</v>
      </c>
      <c r="BB83" s="1">
        <v>20</v>
      </c>
      <c r="BC83" s="1">
        <f t="shared" si="56"/>
        <v>66</v>
      </c>
      <c r="BD83" s="1">
        <f t="shared" si="57"/>
        <v>171</v>
      </c>
      <c r="BE83" s="1">
        <f t="shared" si="58"/>
        <v>86</v>
      </c>
      <c r="BF83" s="1"/>
      <c r="BG83" s="1"/>
      <c r="BH83" s="1"/>
      <c r="BI83" s="10"/>
      <c r="BJ83" s="10"/>
      <c r="BK83" s="10"/>
      <c r="BL83" s="10"/>
      <c r="BM83" s="10"/>
      <c r="BN83" s="10"/>
      <c r="BO83" s="10" t="s">
        <v>371</v>
      </c>
      <c r="BP83" s="10" t="s">
        <v>371</v>
      </c>
      <c r="BQ83" s="50"/>
      <c r="BR83" s="50">
        <f t="shared" si="54"/>
        <v>480</v>
      </c>
      <c r="BS83" s="51">
        <f t="shared" si="55"/>
        <v>80</v>
      </c>
      <c r="BT83" s="52" t="str">
        <f t="shared" si="53"/>
        <v>GRADE I with Distinction</v>
      </c>
      <c r="BU83" s="10"/>
    </row>
    <row r="84" spans="1:73" ht="18" customHeight="1" x14ac:dyDescent="0.25">
      <c r="A84" s="2">
        <v>79</v>
      </c>
      <c r="B84" s="5" t="s">
        <v>206</v>
      </c>
      <c r="C84" s="1">
        <v>12</v>
      </c>
      <c r="D84" s="1">
        <v>31</v>
      </c>
      <c r="E84" s="1">
        <v>18</v>
      </c>
      <c r="F84" s="1">
        <v>18</v>
      </c>
      <c r="G84" s="1">
        <v>52</v>
      </c>
      <c r="H84" s="1">
        <f t="shared" si="43"/>
        <v>131</v>
      </c>
      <c r="I84" s="1">
        <f t="shared" si="44"/>
        <v>66</v>
      </c>
      <c r="J84" s="10"/>
      <c r="K84" s="1">
        <v>21</v>
      </c>
      <c r="L84" s="1">
        <v>36</v>
      </c>
      <c r="M84" s="1">
        <v>19</v>
      </c>
      <c r="N84" s="1">
        <v>13</v>
      </c>
      <c r="O84" s="1">
        <v>61</v>
      </c>
      <c r="P84" s="1">
        <f t="shared" si="45"/>
        <v>150</v>
      </c>
      <c r="Q84" s="1">
        <f t="shared" si="46"/>
        <v>75</v>
      </c>
      <c r="R84" s="1"/>
      <c r="S84" s="59">
        <v>25</v>
      </c>
      <c r="T84" s="59">
        <v>48</v>
      </c>
      <c r="U84" s="59">
        <v>21</v>
      </c>
      <c r="V84" s="59">
        <v>20</v>
      </c>
      <c r="W84" s="59">
        <v>73</v>
      </c>
      <c r="X84" s="59">
        <f t="shared" si="47"/>
        <v>187</v>
      </c>
      <c r="Y84" s="59">
        <f t="shared" si="48"/>
        <v>94</v>
      </c>
      <c r="Z84" s="58"/>
      <c r="AA84" s="1">
        <v>25</v>
      </c>
      <c r="AB84" s="1">
        <v>48</v>
      </c>
      <c r="AC84" s="1">
        <v>24</v>
      </c>
      <c r="AD84" s="1">
        <v>19</v>
      </c>
      <c r="AE84" s="1">
        <v>59</v>
      </c>
      <c r="AF84" s="1">
        <f t="shared" si="49"/>
        <v>175</v>
      </c>
      <c r="AG84" s="1">
        <f t="shared" si="50"/>
        <v>88</v>
      </c>
      <c r="AH84" s="10"/>
      <c r="AI84" s="1">
        <v>25</v>
      </c>
      <c r="AJ84" s="1">
        <v>50</v>
      </c>
      <c r="AK84" s="1">
        <v>16</v>
      </c>
      <c r="AL84" s="1">
        <v>20</v>
      </c>
      <c r="AM84" s="1">
        <v>74</v>
      </c>
      <c r="AN84" s="1">
        <f t="shared" si="51"/>
        <v>185</v>
      </c>
      <c r="AO84" s="1">
        <f t="shared" si="52"/>
        <v>93</v>
      </c>
      <c r="AP84" s="10"/>
      <c r="AQ84" s="1">
        <v>13</v>
      </c>
      <c r="AR84" s="1">
        <v>23</v>
      </c>
      <c r="AS84" s="1">
        <v>5</v>
      </c>
      <c r="AT84" s="1">
        <v>34</v>
      </c>
      <c r="AU84" s="1">
        <v>12</v>
      </c>
      <c r="AV84" s="1">
        <v>25</v>
      </c>
      <c r="AW84" s="1">
        <v>9</v>
      </c>
      <c r="AX84" s="1">
        <v>36</v>
      </c>
      <c r="AY84" s="1">
        <f t="shared" si="42"/>
        <v>25</v>
      </c>
      <c r="AZ84" s="1">
        <f t="shared" si="41"/>
        <v>48</v>
      </c>
      <c r="BA84" s="1">
        <f t="shared" si="40"/>
        <v>14</v>
      </c>
      <c r="BB84" s="1">
        <v>20</v>
      </c>
      <c r="BC84" s="1">
        <f t="shared" si="56"/>
        <v>70</v>
      </c>
      <c r="BD84" s="1">
        <f t="shared" si="57"/>
        <v>177</v>
      </c>
      <c r="BE84" s="1">
        <f t="shared" si="58"/>
        <v>89</v>
      </c>
      <c r="BF84" s="1"/>
      <c r="BG84" s="1"/>
      <c r="BH84" s="1"/>
      <c r="BI84" s="10"/>
      <c r="BJ84" s="10"/>
      <c r="BK84" s="10"/>
      <c r="BL84" s="10"/>
      <c r="BM84" s="10"/>
      <c r="BN84" s="10"/>
      <c r="BO84" s="10" t="s">
        <v>372</v>
      </c>
      <c r="BP84" s="10" t="s">
        <v>371</v>
      </c>
      <c r="BQ84" s="50"/>
      <c r="BR84" s="50">
        <f t="shared" si="54"/>
        <v>505</v>
      </c>
      <c r="BS84" s="51">
        <f t="shared" si="55"/>
        <v>84.166666666666671</v>
      </c>
      <c r="BT84" s="52" t="str">
        <f t="shared" si="53"/>
        <v>GRADE I with Distinction</v>
      </c>
      <c r="BU84" s="10"/>
    </row>
    <row r="85" spans="1:73" ht="18" customHeight="1" x14ac:dyDescent="0.25">
      <c r="A85" s="2">
        <v>80</v>
      </c>
      <c r="B85" s="5" t="s">
        <v>207</v>
      </c>
      <c r="C85" s="1">
        <v>7</v>
      </c>
      <c r="D85" s="1">
        <v>15</v>
      </c>
      <c r="E85" s="1">
        <v>11</v>
      </c>
      <c r="F85" s="1">
        <v>11</v>
      </c>
      <c r="G85" s="1">
        <v>35</v>
      </c>
      <c r="H85" s="1">
        <f t="shared" si="43"/>
        <v>79</v>
      </c>
      <c r="I85" s="1">
        <f t="shared" si="44"/>
        <v>40</v>
      </c>
      <c r="J85" s="10"/>
      <c r="K85" s="1">
        <v>14</v>
      </c>
      <c r="L85" s="1">
        <v>25</v>
      </c>
      <c r="M85" s="1">
        <v>10</v>
      </c>
      <c r="N85" s="1">
        <v>13</v>
      </c>
      <c r="O85" s="1">
        <v>30</v>
      </c>
      <c r="P85" s="1">
        <f t="shared" si="45"/>
        <v>92</v>
      </c>
      <c r="Q85" s="1">
        <f t="shared" si="46"/>
        <v>46</v>
      </c>
      <c r="R85" s="1"/>
      <c r="S85" s="59">
        <v>6</v>
      </c>
      <c r="T85" s="59">
        <v>22</v>
      </c>
      <c r="U85" s="59">
        <v>0</v>
      </c>
      <c r="V85" s="59">
        <v>13</v>
      </c>
      <c r="W85" s="59">
        <v>28</v>
      </c>
      <c r="X85" s="59">
        <f t="shared" si="47"/>
        <v>69</v>
      </c>
      <c r="Y85" s="59">
        <f t="shared" si="48"/>
        <v>35</v>
      </c>
      <c r="Z85" s="58"/>
      <c r="AA85" s="1">
        <v>18</v>
      </c>
      <c r="AB85" s="1">
        <v>8</v>
      </c>
      <c r="AC85" s="1">
        <v>11</v>
      </c>
      <c r="AD85" s="1">
        <v>12</v>
      </c>
      <c r="AE85" s="1">
        <v>21</v>
      </c>
      <c r="AF85" s="1">
        <f t="shared" si="49"/>
        <v>70</v>
      </c>
      <c r="AG85" s="1">
        <f t="shared" si="50"/>
        <v>35</v>
      </c>
      <c r="AH85" s="10"/>
      <c r="AI85" s="1">
        <v>4</v>
      </c>
      <c r="AJ85" s="1">
        <v>4</v>
      </c>
      <c r="AK85" s="1">
        <v>3</v>
      </c>
      <c r="AL85" s="1">
        <v>13</v>
      </c>
      <c r="AM85" s="1">
        <v>35</v>
      </c>
      <c r="AN85" s="1">
        <f t="shared" si="51"/>
        <v>59</v>
      </c>
      <c r="AO85" s="1">
        <f t="shared" si="52"/>
        <v>30</v>
      </c>
      <c r="AP85" s="10">
        <v>5</v>
      </c>
      <c r="AQ85" s="1">
        <v>3</v>
      </c>
      <c r="AR85" s="1">
        <v>4</v>
      </c>
      <c r="AS85" s="1">
        <v>1</v>
      </c>
      <c r="AT85" s="1">
        <v>4</v>
      </c>
      <c r="AU85" s="1">
        <v>5.5</v>
      </c>
      <c r="AV85" s="1">
        <v>7</v>
      </c>
      <c r="AW85" s="1">
        <v>1</v>
      </c>
      <c r="AX85" s="1">
        <v>14</v>
      </c>
      <c r="AY85" s="1">
        <f t="shared" si="42"/>
        <v>9</v>
      </c>
      <c r="AZ85" s="1">
        <f t="shared" si="41"/>
        <v>11</v>
      </c>
      <c r="BA85" s="1">
        <f t="shared" si="40"/>
        <v>2</v>
      </c>
      <c r="BB85" s="1">
        <v>10</v>
      </c>
      <c r="BC85" s="1">
        <f t="shared" si="56"/>
        <v>18</v>
      </c>
      <c r="BD85" s="1">
        <f t="shared" si="57"/>
        <v>50</v>
      </c>
      <c r="BE85" s="1">
        <f t="shared" si="58"/>
        <v>25</v>
      </c>
      <c r="BF85" s="1">
        <v>10</v>
      </c>
      <c r="BG85" s="1"/>
      <c r="BH85" s="1"/>
      <c r="BI85" s="10"/>
      <c r="BJ85" s="10"/>
      <c r="BK85" s="10"/>
      <c r="BL85" s="10"/>
      <c r="BM85" s="10"/>
      <c r="BN85" s="10"/>
      <c r="BO85" s="10" t="s">
        <v>372</v>
      </c>
      <c r="BP85" s="10" t="s">
        <v>372</v>
      </c>
      <c r="BQ85" s="50">
        <f t="shared" ref="BQ85:BQ117" si="59">J85+R85+Z85+AH85+AP85+BF85</f>
        <v>15</v>
      </c>
      <c r="BR85" s="50">
        <f t="shared" si="54"/>
        <v>211</v>
      </c>
      <c r="BS85" s="51">
        <f t="shared" si="55"/>
        <v>35.166666666666664</v>
      </c>
      <c r="BT85" s="52" t="s">
        <v>375</v>
      </c>
      <c r="BU85" s="10"/>
    </row>
    <row r="86" spans="1:73" ht="18" customHeight="1" x14ac:dyDescent="0.25">
      <c r="A86" s="2">
        <v>81</v>
      </c>
      <c r="B86" s="5" t="s">
        <v>208</v>
      </c>
      <c r="C86" s="1">
        <v>15</v>
      </c>
      <c r="D86" s="1">
        <v>32</v>
      </c>
      <c r="E86" s="1">
        <v>18</v>
      </c>
      <c r="F86" s="1">
        <v>17</v>
      </c>
      <c r="G86" s="1">
        <v>54</v>
      </c>
      <c r="H86" s="1">
        <f t="shared" si="43"/>
        <v>136</v>
      </c>
      <c r="I86" s="1">
        <f t="shared" si="44"/>
        <v>68</v>
      </c>
      <c r="J86" s="10"/>
      <c r="K86" s="1">
        <v>17</v>
      </c>
      <c r="L86" s="1">
        <v>25</v>
      </c>
      <c r="M86" s="1">
        <v>19</v>
      </c>
      <c r="N86" s="1">
        <v>15</v>
      </c>
      <c r="O86" s="1">
        <v>40</v>
      </c>
      <c r="P86" s="1">
        <f t="shared" si="45"/>
        <v>116</v>
      </c>
      <c r="Q86" s="1">
        <f t="shared" si="46"/>
        <v>58</v>
      </c>
      <c r="R86" s="1"/>
      <c r="S86" s="59">
        <v>24</v>
      </c>
      <c r="T86" s="59">
        <v>44</v>
      </c>
      <c r="U86" s="59">
        <v>18</v>
      </c>
      <c r="V86" s="59">
        <v>19</v>
      </c>
      <c r="W86" s="59">
        <v>65</v>
      </c>
      <c r="X86" s="59">
        <f t="shared" si="47"/>
        <v>170</v>
      </c>
      <c r="Y86" s="59">
        <f t="shared" si="48"/>
        <v>85</v>
      </c>
      <c r="Z86" s="58"/>
      <c r="AA86" s="1">
        <v>23</v>
      </c>
      <c r="AB86" s="1">
        <v>33</v>
      </c>
      <c r="AC86" s="1">
        <v>14</v>
      </c>
      <c r="AD86" s="1">
        <v>13</v>
      </c>
      <c r="AE86" s="1">
        <v>37</v>
      </c>
      <c r="AF86" s="1">
        <f t="shared" si="49"/>
        <v>120</v>
      </c>
      <c r="AG86" s="1">
        <f t="shared" si="50"/>
        <v>60</v>
      </c>
      <c r="AH86" s="10"/>
      <c r="AI86" s="1">
        <v>21</v>
      </c>
      <c r="AJ86" s="1">
        <v>44</v>
      </c>
      <c r="AK86" s="1">
        <v>13</v>
      </c>
      <c r="AL86" s="1">
        <v>18</v>
      </c>
      <c r="AM86" s="1">
        <v>64</v>
      </c>
      <c r="AN86" s="1">
        <f t="shared" si="51"/>
        <v>160</v>
      </c>
      <c r="AO86" s="1">
        <f t="shared" si="52"/>
        <v>80</v>
      </c>
      <c r="AP86" s="10"/>
      <c r="AQ86" s="1">
        <v>11</v>
      </c>
      <c r="AR86" s="1">
        <v>23</v>
      </c>
      <c r="AS86" s="1">
        <v>5</v>
      </c>
      <c r="AT86" s="1">
        <v>24</v>
      </c>
      <c r="AU86" s="1">
        <v>9</v>
      </c>
      <c r="AV86" s="1">
        <v>22.5</v>
      </c>
      <c r="AW86" s="1">
        <v>5.5</v>
      </c>
      <c r="AX86" s="1">
        <v>22</v>
      </c>
      <c r="AY86" s="1">
        <f t="shared" si="42"/>
        <v>20</v>
      </c>
      <c r="AZ86" s="1">
        <f t="shared" si="41"/>
        <v>46</v>
      </c>
      <c r="BA86" s="1">
        <f t="shared" si="40"/>
        <v>11</v>
      </c>
      <c r="BB86" s="1">
        <v>12</v>
      </c>
      <c r="BC86" s="1">
        <f t="shared" si="56"/>
        <v>46</v>
      </c>
      <c r="BD86" s="1">
        <f t="shared" si="57"/>
        <v>135</v>
      </c>
      <c r="BE86" s="1">
        <f t="shared" si="58"/>
        <v>68</v>
      </c>
      <c r="BF86" s="1"/>
      <c r="BG86" s="1"/>
      <c r="BH86" s="1"/>
      <c r="BI86" s="10"/>
      <c r="BJ86" s="10"/>
      <c r="BK86" s="10"/>
      <c r="BL86" s="10"/>
      <c r="BM86" s="10"/>
      <c r="BN86" s="10"/>
      <c r="BO86" s="10" t="s">
        <v>371</v>
      </c>
      <c r="BP86" s="10" t="s">
        <v>371</v>
      </c>
      <c r="BQ86" s="50"/>
      <c r="BR86" s="50">
        <f t="shared" si="54"/>
        <v>419</v>
      </c>
      <c r="BS86" s="51">
        <f t="shared" si="55"/>
        <v>69.833333333333329</v>
      </c>
      <c r="BT86" s="52" t="str">
        <f t="shared" si="53"/>
        <v>GRADE I</v>
      </c>
      <c r="BU86" s="10"/>
    </row>
    <row r="87" spans="1:73" ht="18" customHeight="1" x14ac:dyDescent="0.25">
      <c r="A87" s="2">
        <v>82</v>
      </c>
      <c r="B87" s="5" t="s">
        <v>209</v>
      </c>
      <c r="C87" s="1">
        <v>8</v>
      </c>
      <c r="D87" s="1">
        <v>24</v>
      </c>
      <c r="E87" s="1">
        <v>14</v>
      </c>
      <c r="F87" s="1">
        <v>15</v>
      </c>
      <c r="G87" s="1">
        <v>39</v>
      </c>
      <c r="H87" s="1">
        <f t="shared" si="43"/>
        <v>100</v>
      </c>
      <c r="I87" s="1">
        <f t="shared" si="44"/>
        <v>50</v>
      </c>
      <c r="J87" s="10"/>
      <c r="K87" s="1">
        <v>16</v>
      </c>
      <c r="L87" s="1">
        <v>27</v>
      </c>
      <c r="M87" s="1">
        <v>15</v>
      </c>
      <c r="N87" s="1">
        <v>15</v>
      </c>
      <c r="O87" s="1">
        <v>42</v>
      </c>
      <c r="P87" s="1">
        <f t="shared" si="45"/>
        <v>115</v>
      </c>
      <c r="Q87" s="1">
        <f t="shared" si="46"/>
        <v>58</v>
      </c>
      <c r="R87" s="1"/>
      <c r="S87" s="59">
        <v>21</v>
      </c>
      <c r="T87" s="59">
        <v>38</v>
      </c>
      <c r="U87" s="59">
        <v>15</v>
      </c>
      <c r="V87" s="59">
        <v>19</v>
      </c>
      <c r="W87" s="59">
        <v>50</v>
      </c>
      <c r="X87" s="59">
        <f t="shared" si="47"/>
        <v>143</v>
      </c>
      <c r="Y87" s="59">
        <f t="shared" si="48"/>
        <v>72</v>
      </c>
      <c r="Z87" s="58"/>
      <c r="AA87" s="1">
        <v>22</v>
      </c>
      <c r="AB87" s="1">
        <v>33</v>
      </c>
      <c r="AC87" s="1">
        <v>19</v>
      </c>
      <c r="AD87" s="1">
        <v>17</v>
      </c>
      <c r="AE87" s="1">
        <v>56</v>
      </c>
      <c r="AF87" s="1">
        <f t="shared" si="49"/>
        <v>147</v>
      </c>
      <c r="AG87" s="1">
        <f t="shared" si="50"/>
        <v>74</v>
      </c>
      <c r="AH87" s="10"/>
      <c r="AI87" s="1">
        <v>18</v>
      </c>
      <c r="AJ87" s="1">
        <v>37</v>
      </c>
      <c r="AK87" s="1">
        <v>15</v>
      </c>
      <c r="AL87" s="1">
        <v>17</v>
      </c>
      <c r="AM87" s="1">
        <v>52</v>
      </c>
      <c r="AN87" s="1">
        <f t="shared" si="51"/>
        <v>139</v>
      </c>
      <c r="AO87" s="1">
        <f t="shared" si="52"/>
        <v>70</v>
      </c>
      <c r="AP87" s="10"/>
      <c r="AQ87" s="1">
        <v>10</v>
      </c>
      <c r="AR87" s="1">
        <v>22.5</v>
      </c>
      <c r="AS87" s="1">
        <v>8</v>
      </c>
      <c r="AT87" s="1">
        <v>28</v>
      </c>
      <c r="AU87" s="1">
        <v>10</v>
      </c>
      <c r="AV87" s="1">
        <v>17.5</v>
      </c>
      <c r="AW87" s="1">
        <v>10.5</v>
      </c>
      <c r="AX87" s="1">
        <v>28</v>
      </c>
      <c r="AY87" s="1">
        <f t="shared" si="42"/>
        <v>20</v>
      </c>
      <c r="AZ87" s="1">
        <f t="shared" si="41"/>
        <v>40</v>
      </c>
      <c r="BA87" s="1">
        <f t="shared" si="40"/>
        <v>19</v>
      </c>
      <c r="BB87" s="1">
        <v>15</v>
      </c>
      <c r="BC87" s="1">
        <f t="shared" si="56"/>
        <v>56</v>
      </c>
      <c r="BD87" s="1">
        <f t="shared" si="57"/>
        <v>150</v>
      </c>
      <c r="BE87" s="1">
        <f t="shared" si="58"/>
        <v>75</v>
      </c>
      <c r="BF87" s="1"/>
      <c r="BG87" s="1"/>
      <c r="BH87" s="1"/>
      <c r="BI87" s="10"/>
      <c r="BJ87" s="10"/>
      <c r="BK87" s="10"/>
      <c r="BL87" s="10"/>
      <c r="BM87" s="10"/>
      <c r="BN87" s="10"/>
      <c r="BO87" s="10" t="s">
        <v>371</v>
      </c>
      <c r="BP87" s="10" t="s">
        <v>372</v>
      </c>
      <c r="BQ87" s="50"/>
      <c r="BR87" s="50">
        <f t="shared" si="54"/>
        <v>399</v>
      </c>
      <c r="BS87" s="51">
        <f t="shared" si="55"/>
        <v>66.5</v>
      </c>
      <c r="BT87" s="52" t="str">
        <f t="shared" si="53"/>
        <v>GRADE I</v>
      </c>
      <c r="BU87" s="10"/>
    </row>
    <row r="88" spans="1:73" ht="18" customHeight="1" x14ac:dyDescent="0.25">
      <c r="A88" s="2">
        <v>83</v>
      </c>
      <c r="B88" s="5" t="s">
        <v>210</v>
      </c>
      <c r="C88" s="1">
        <v>10</v>
      </c>
      <c r="D88" s="1">
        <v>27</v>
      </c>
      <c r="E88" s="1">
        <v>16</v>
      </c>
      <c r="F88" s="1">
        <v>16</v>
      </c>
      <c r="G88" s="1">
        <v>42</v>
      </c>
      <c r="H88" s="1">
        <f t="shared" si="43"/>
        <v>111</v>
      </c>
      <c r="I88" s="1">
        <f t="shared" si="44"/>
        <v>56</v>
      </c>
      <c r="J88" s="10"/>
      <c r="K88" s="1">
        <v>14</v>
      </c>
      <c r="L88" s="1">
        <v>31</v>
      </c>
      <c r="M88" s="1">
        <v>17</v>
      </c>
      <c r="N88" s="1">
        <v>16</v>
      </c>
      <c r="O88" s="1">
        <v>51</v>
      </c>
      <c r="P88" s="1">
        <f t="shared" si="45"/>
        <v>129</v>
      </c>
      <c r="Q88" s="1">
        <f t="shared" si="46"/>
        <v>65</v>
      </c>
      <c r="R88" s="1"/>
      <c r="S88" s="59">
        <v>16</v>
      </c>
      <c r="T88" s="59">
        <v>46</v>
      </c>
      <c r="U88" s="59">
        <v>18</v>
      </c>
      <c r="V88" s="59">
        <v>19</v>
      </c>
      <c r="W88" s="59">
        <v>67</v>
      </c>
      <c r="X88" s="59">
        <f t="shared" si="47"/>
        <v>166</v>
      </c>
      <c r="Y88" s="59">
        <f t="shared" si="48"/>
        <v>83</v>
      </c>
      <c r="Z88" s="58"/>
      <c r="AA88" s="1">
        <v>24</v>
      </c>
      <c r="AB88" s="1">
        <v>31</v>
      </c>
      <c r="AC88" s="1">
        <v>19</v>
      </c>
      <c r="AD88" s="1">
        <v>19</v>
      </c>
      <c r="AE88" s="1">
        <v>46</v>
      </c>
      <c r="AF88" s="1">
        <f t="shared" si="49"/>
        <v>139</v>
      </c>
      <c r="AG88" s="1">
        <f t="shared" si="50"/>
        <v>70</v>
      </c>
      <c r="AH88" s="10"/>
      <c r="AI88" s="1">
        <v>17</v>
      </c>
      <c r="AJ88" s="1">
        <v>40</v>
      </c>
      <c r="AK88" s="1">
        <v>16</v>
      </c>
      <c r="AL88" s="1">
        <v>20</v>
      </c>
      <c r="AM88" s="1">
        <v>58</v>
      </c>
      <c r="AN88" s="1">
        <f t="shared" si="51"/>
        <v>151</v>
      </c>
      <c r="AO88" s="1">
        <f t="shared" si="52"/>
        <v>76</v>
      </c>
      <c r="AP88" s="10"/>
      <c r="AQ88" s="1">
        <v>9.5</v>
      </c>
      <c r="AR88" s="1">
        <v>16.5</v>
      </c>
      <c r="AS88" s="1">
        <v>7.5</v>
      </c>
      <c r="AT88" s="1">
        <v>18</v>
      </c>
      <c r="AU88" s="1">
        <v>10.5</v>
      </c>
      <c r="AV88" s="1">
        <v>10</v>
      </c>
      <c r="AW88" s="1">
        <v>3</v>
      </c>
      <c r="AX88" s="1">
        <v>18</v>
      </c>
      <c r="AY88" s="1">
        <f t="shared" si="42"/>
        <v>20</v>
      </c>
      <c r="AZ88" s="1">
        <f t="shared" si="41"/>
        <v>27</v>
      </c>
      <c r="BA88" s="1">
        <f t="shared" si="40"/>
        <v>11</v>
      </c>
      <c r="BB88" s="1">
        <v>14</v>
      </c>
      <c r="BC88" s="1">
        <f t="shared" si="56"/>
        <v>36</v>
      </c>
      <c r="BD88" s="1">
        <f t="shared" si="57"/>
        <v>108</v>
      </c>
      <c r="BE88" s="1">
        <f t="shared" si="58"/>
        <v>54</v>
      </c>
      <c r="BF88" s="1"/>
      <c r="BG88" s="1"/>
      <c r="BH88" s="1"/>
      <c r="BI88" s="10"/>
      <c r="BJ88" s="10"/>
      <c r="BK88" s="10"/>
      <c r="BL88" s="10"/>
      <c r="BM88" s="10"/>
      <c r="BN88" s="10"/>
      <c r="BO88" s="10" t="s">
        <v>371</v>
      </c>
      <c r="BP88" s="10" t="s">
        <v>371</v>
      </c>
      <c r="BQ88" s="50"/>
      <c r="BR88" s="50">
        <f t="shared" si="54"/>
        <v>404</v>
      </c>
      <c r="BS88" s="51">
        <f t="shared" si="55"/>
        <v>67.333333333333329</v>
      </c>
      <c r="BT88" s="52" t="str">
        <f t="shared" si="53"/>
        <v>GRADE I</v>
      </c>
      <c r="BU88" s="10"/>
    </row>
    <row r="89" spans="1:73" ht="18" customHeight="1" x14ac:dyDescent="0.25">
      <c r="A89" s="2">
        <v>84</v>
      </c>
      <c r="B89" s="5" t="s">
        <v>211</v>
      </c>
      <c r="C89" s="1">
        <v>15</v>
      </c>
      <c r="D89" s="1">
        <v>30</v>
      </c>
      <c r="E89" s="1">
        <v>16</v>
      </c>
      <c r="F89" s="1">
        <v>17</v>
      </c>
      <c r="G89" s="1">
        <v>54</v>
      </c>
      <c r="H89" s="1">
        <f t="shared" si="43"/>
        <v>132</v>
      </c>
      <c r="I89" s="1">
        <f t="shared" si="44"/>
        <v>66</v>
      </c>
      <c r="J89" s="10"/>
      <c r="K89" s="1">
        <v>22</v>
      </c>
      <c r="L89" s="1">
        <v>41</v>
      </c>
      <c r="M89" s="1">
        <v>21</v>
      </c>
      <c r="N89" s="1">
        <v>16</v>
      </c>
      <c r="O89" s="1">
        <v>70</v>
      </c>
      <c r="P89" s="1">
        <f t="shared" si="45"/>
        <v>170</v>
      </c>
      <c r="Q89" s="1">
        <f t="shared" si="46"/>
        <v>85</v>
      </c>
      <c r="R89" s="1"/>
      <c r="S89" s="59">
        <v>25</v>
      </c>
      <c r="T89" s="59">
        <v>49</v>
      </c>
      <c r="U89" s="59">
        <v>23</v>
      </c>
      <c r="V89" s="59">
        <v>20</v>
      </c>
      <c r="W89" s="59">
        <v>70</v>
      </c>
      <c r="X89" s="59">
        <f t="shared" si="47"/>
        <v>187</v>
      </c>
      <c r="Y89" s="59">
        <f t="shared" si="48"/>
        <v>94</v>
      </c>
      <c r="Z89" s="58"/>
      <c r="AA89" s="1">
        <v>25</v>
      </c>
      <c r="AB89" s="1">
        <v>39</v>
      </c>
      <c r="AC89" s="1">
        <v>25</v>
      </c>
      <c r="AD89" s="1">
        <v>18</v>
      </c>
      <c r="AE89" s="1">
        <v>72</v>
      </c>
      <c r="AF89" s="1">
        <f t="shared" si="49"/>
        <v>179</v>
      </c>
      <c r="AG89" s="1">
        <f t="shared" si="50"/>
        <v>90</v>
      </c>
      <c r="AH89" s="10"/>
      <c r="AI89" s="1">
        <v>24</v>
      </c>
      <c r="AJ89" s="1">
        <v>49</v>
      </c>
      <c r="AK89" s="1">
        <v>24</v>
      </c>
      <c r="AL89" s="1">
        <v>20</v>
      </c>
      <c r="AM89" s="1">
        <v>73</v>
      </c>
      <c r="AN89" s="1">
        <f t="shared" si="51"/>
        <v>190</v>
      </c>
      <c r="AO89" s="1">
        <f t="shared" si="52"/>
        <v>95</v>
      </c>
      <c r="AP89" s="10"/>
      <c r="AQ89" s="1">
        <v>12</v>
      </c>
      <c r="AR89" s="1">
        <v>23</v>
      </c>
      <c r="AS89" s="1">
        <v>6</v>
      </c>
      <c r="AT89" s="1">
        <v>35</v>
      </c>
      <c r="AU89" s="1">
        <v>12</v>
      </c>
      <c r="AV89" s="1">
        <v>22</v>
      </c>
      <c r="AW89" s="1">
        <v>8</v>
      </c>
      <c r="AX89" s="1">
        <v>31</v>
      </c>
      <c r="AY89" s="1">
        <f t="shared" si="42"/>
        <v>24</v>
      </c>
      <c r="AZ89" s="1">
        <f t="shared" si="41"/>
        <v>45</v>
      </c>
      <c r="BA89" s="1">
        <f t="shared" si="40"/>
        <v>14</v>
      </c>
      <c r="BB89" s="1">
        <v>19</v>
      </c>
      <c r="BC89" s="1">
        <f t="shared" si="56"/>
        <v>66</v>
      </c>
      <c r="BD89" s="1">
        <f t="shared" si="57"/>
        <v>168</v>
      </c>
      <c r="BE89" s="1">
        <f t="shared" si="58"/>
        <v>84</v>
      </c>
      <c r="BF89" s="1"/>
      <c r="BG89" s="1"/>
      <c r="BH89" s="1"/>
      <c r="BI89" s="10"/>
      <c r="BJ89" s="10"/>
      <c r="BK89" s="10"/>
      <c r="BL89" s="10"/>
      <c r="BM89" s="10"/>
      <c r="BN89" s="10"/>
      <c r="BO89" s="10" t="s">
        <v>371</v>
      </c>
      <c r="BP89" s="10" t="s">
        <v>371</v>
      </c>
      <c r="BQ89" s="50"/>
      <c r="BR89" s="50">
        <f t="shared" si="54"/>
        <v>514</v>
      </c>
      <c r="BS89" s="51">
        <f t="shared" si="55"/>
        <v>85.666666666666671</v>
      </c>
      <c r="BT89" s="52" t="str">
        <f t="shared" si="53"/>
        <v>GRADE I with Distinction</v>
      </c>
      <c r="BU89" s="10"/>
    </row>
    <row r="90" spans="1:73" ht="18" customHeight="1" x14ac:dyDescent="0.25">
      <c r="A90" s="2">
        <v>85</v>
      </c>
      <c r="B90" s="5" t="s">
        <v>212</v>
      </c>
      <c r="C90" s="1">
        <v>8</v>
      </c>
      <c r="D90" s="1">
        <v>25</v>
      </c>
      <c r="E90" s="1">
        <v>15</v>
      </c>
      <c r="F90" s="1">
        <v>13</v>
      </c>
      <c r="G90" s="1">
        <v>48</v>
      </c>
      <c r="H90" s="1">
        <f t="shared" si="43"/>
        <v>109</v>
      </c>
      <c r="I90" s="1">
        <f t="shared" si="44"/>
        <v>55</v>
      </c>
      <c r="J90" s="10"/>
      <c r="K90" s="1">
        <v>16</v>
      </c>
      <c r="L90" s="1">
        <v>32</v>
      </c>
      <c r="M90" s="1">
        <v>17</v>
      </c>
      <c r="N90" s="1">
        <v>14</v>
      </c>
      <c r="O90" s="1">
        <v>46</v>
      </c>
      <c r="P90" s="1">
        <f t="shared" si="45"/>
        <v>125</v>
      </c>
      <c r="Q90" s="1">
        <f t="shared" si="46"/>
        <v>63</v>
      </c>
      <c r="R90" s="1"/>
      <c r="S90" s="59">
        <v>22</v>
      </c>
      <c r="T90" s="59">
        <v>31</v>
      </c>
      <c r="U90" s="59">
        <v>19</v>
      </c>
      <c r="V90" s="59">
        <v>20</v>
      </c>
      <c r="W90" s="59">
        <v>64</v>
      </c>
      <c r="X90" s="59">
        <f t="shared" si="47"/>
        <v>156</v>
      </c>
      <c r="Y90" s="59">
        <f t="shared" si="48"/>
        <v>78</v>
      </c>
      <c r="Z90" s="58"/>
      <c r="AA90" s="1">
        <v>25</v>
      </c>
      <c r="AB90" s="1">
        <v>40</v>
      </c>
      <c r="AC90" s="1">
        <v>24</v>
      </c>
      <c r="AD90" s="1">
        <v>16</v>
      </c>
      <c r="AE90" s="1">
        <v>58</v>
      </c>
      <c r="AF90" s="1">
        <f t="shared" si="49"/>
        <v>163</v>
      </c>
      <c r="AG90" s="1">
        <f t="shared" si="50"/>
        <v>82</v>
      </c>
      <c r="AH90" s="10"/>
      <c r="AI90" s="1">
        <v>13</v>
      </c>
      <c r="AJ90" s="1">
        <v>33</v>
      </c>
      <c r="AK90" s="1">
        <v>10</v>
      </c>
      <c r="AL90" s="1">
        <v>17</v>
      </c>
      <c r="AM90" s="1">
        <v>57</v>
      </c>
      <c r="AN90" s="1">
        <f t="shared" si="51"/>
        <v>130</v>
      </c>
      <c r="AO90" s="1">
        <f t="shared" si="52"/>
        <v>65</v>
      </c>
      <c r="AP90" s="10"/>
      <c r="AQ90" s="1">
        <v>12</v>
      </c>
      <c r="AR90" s="1">
        <v>20</v>
      </c>
      <c r="AS90" s="1">
        <v>7</v>
      </c>
      <c r="AT90" s="1">
        <v>26</v>
      </c>
      <c r="AU90" s="1">
        <v>9.5</v>
      </c>
      <c r="AV90" s="1">
        <v>22</v>
      </c>
      <c r="AW90" s="1">
        <v>11.5</v>
      </c>
      <c r="AX90" s="1">
        <v>38</v>
      </c>
      <c r="AY90" s="1">
        <f t="shared" si="42"/>
        <v>22</v>
      </c>
      <c r="AZ90" s="1">
        <f t="shared" si="41"/>
        <v>42</v>
      </c>
      <c r="BA90" s="1">
        <f t="shared" si="40"/>
        <v>19</v>
      </c>
      <c r="BB90" s="1">
        <v>16</v>
      </c>
      <c r="BC90" s="1">
        <f t="shared" si="56"/>
        <v>64</v>
      </c>
      <c r="BD90" s="1">
        <f t="shared" si="57"/>
        <v>163</v>
      </c>
      <c r="BE90" s="1">
        <f t="shared" si="58"/>
        <v>82</v>
      </c>
      <c r="BF90" s="1"/>
      <c r="BG90" s="1"/>
      <c r="BH90" s="1"/>
      <c r="BI90" s="10"/>
      <c r="BJ90" s="10"/>
      <c r="BK90" s="10"/>
      <c r="BL90" s="10"/>
      <c r="BM90" s="10"/>
      <c r="BN90" s="10"/>
      <c r="BO90" s="10" t="s">
        <v>371</v>
      </c>
      <c r="BP90" s="10" t="s">
        <v>372</v>
      </c>
      <c r="BQ90" s="50"/>
      <c r="BR90" s="50">
        <f t="shared" si="54"/>
        <v>425</v>
      </c>
      <c r="BS90" s="51">
        <f t="shared" si="55"/>
        <v>70.833333333333329</v>
      </c>
      <c r="BT90" s="52" t="str">
        <f t="shared" si="53"/>
        <v>GRADE I</v>
      </c>
      <c r="BU90" s="10"/>
    </row>
    <row r="91" spans="1:73" ht="18" customHeight="1" x14ac:dyDescent="0.25">
      <c r="A91" s="2">
        <v>86</v>
      </c>
      <c r="B91" s="5" t="s">
        <v>213</v>
      </c>
      <c r="C91" s="1">
        <v>7</v>
      </c>
      <c r="D91" s="1">
        <v>19</v>
      </c>
      <c r="E91" s="1">
        <v>11</v>
      </c>
      <c r="F91" s="1">
        <v>17</v>
      </c>
      <c r="G91" s="1">
        <v>40</v>
      </c>
      <c r="H91" s="1">
        <f t="shared" si="43"/>
        <v>94</v>
      </c>
      <c r="I91" s="1">
        <f t="shared" si="44"/>
        <v>47</v>
      </c>
      <c r="J91" s="10"/>
      <c r="K91" s="1">
        <v>18</v>
      </c>
      <c r="L91" s="1">
        <v>33</v>
      </c>
      <c r="M91" s="1">
        <v>16</v>
      </c>
      <c r="N91" s="1">
        <v>16</v>
      </c>
      <c r="O91" s="1">
        <v>48</v>
      </c>
      <c r="P91" s="1">
        <f t="shared" si="45"/>
        <v>131</v>
      </c>
      <c r="Q91" s="1">
        <f t="shared" si="46"/>
        <v>66</v>
      </c>
      <c r="R91" s="1"/>
      <c r="S91" s="59">
        <v>22</v>
      </c>
      <c r="T91" s="59">
        <v>33</v>
      </c>
      <c r="U91" s="59">
        <v>10</v>
      </c>
      <c r="V91" s="59">
        <v>19</v>
      </c>
      <c r="W91" s="59">
        <v>60</v>
      </c>
      <c r="X91" s="59">
        <f t="shared" si="47"/>
        <v>144</v>
      </c>
      <c r="Y91" s="59">
        <f t="shared" si="48"/>
        <v>72</v>
      </c>
      <c r="Z91" s="58"/>
      <c r="AA91" s="1">
        <v>13</v>
      </c>
      <c r="AB91" s="1">
        <v>29</v>
      </c>
      <c r="AC91" s="1">
        <v>15</v>
      </c>
      <c r="AD91" s="1">
        <v>18</v>
      </c>
      <c r="AE91" s="1">
        <v>43</v>
      </c>
      <c r="AF91" s="1">
        <f t="shared" si="49"/>
        <v>118</v>
      </c>
      <c r="AG91" s="1">
        <f t="shared" si="50"/>
        <v>59</v>
      </c>
      <c r="AH91" s="10"/>
      <c r="AI91" s="1">
        <v>18</v>
      </c>
      <c r="AJ91" s="1">
        <v>28</v>
      </c>
      <c r="AK91" s="1">
        <v>11</v>
      </c>
      <c r="AL91" s="1">
        <v>18</v>
      </c>
      <c r="AM91" s="1">
        <v>42</v>
      </c>
      <c r="AN91" s="1">
        <f t="shared" si="51"/>
        <v>117</v>
      </c>
      <c r="AO91" s="1">
        <f t="shared" si="52"/>
        <v>59</v>
      </c>
      <c r="AP91" s="10"/>
      <c r="AQ91" s="1">
        <v>11.5</v>
      </c>
      <c r="AR91" s="1">
        <v>20</v>
      </c>
      <c r="AS91" s="1">
        <v>6.5</v>
      </c>
      <c r="AT91" s="1">
        <v>30</v>
      </c>
      <c r="AU91" s="1">
        <v>4.5</v>
      </c>
      <c r="AV91" s="1">
        <v>20.5</v>
      </c>
      <c r="AW91" s="1">
        <v>5</v>
      </c>
      <c r="AX91" s="1">
        <v>31</v>
      </c>
      <c r="AY91" s="1">
        <f t="shared" si="42"/>
        <v>16</v>
      </c>
      <c r="AZ91" s="1">
        <f t="shared" si="41"/>
        <v>41</v>
      </c>
      <c r="BA91" s="1">
        <f t="shared" si="40"/>
        <v>12</v>
      </c>
      <c r="BB91" s="1">
        <v>15</v>
      </c>
      <c r="BC91" s="1">
        <f t="shared" si="56"/>
        <v>61</v>
      </c>
      <c r="BD91" s="1">
        <f t="shared" si="57"/>
        <v>145</v>
      </c>
      <c r="BE91" s="1">
        <f t="shared" si="58"/>
        <v>73</v>
      </c>
      <c r="BF91" s="1"/>
      <c r="BG91" s="1"/>
      <c r="BH91" s="1"/>
      <c r="BI91" s="10"/>
      <c r="BJ91" s="10"/>
      <c r="BK91" s="10"/>
      <c r="BL91" s="10"/>
      <c r="BM91" s="10"/>
      <c r="BN91" s="10"/>
      <c r="BO91" s="10" t="s">
        <v>372</v>
      </c>
      <c r="BP91" s="10" t="s">
        <v>371</v>
      </c>
      <c r="BQ91" s="50"/>
      <c r="BR91" s="50">
        <f t="shared" si="54"/>
        <v>376</v>
      </c>
      <c r="BS91" s="51">
        <f t="shared" si="55"/>
        <v>62.666666666666664</v>
      </c>
      <c r="BT91" s="52" t="str">
        <f t="shared" si="53"/>
        <v>GRADE I</v>
      </c>
      <c r="BU91" s="10"/>
    </row>
    <row r="92" spans="1:73" ht="18" customHeight="1" x14ac:dyDescent="0.25">
      <c r="A92" s="2">
        <v>87</v>
      </c>
      <c r="B92" s="5" t="s">
        <v>214</v>
      </c>
      <c r="C92" s="1">
        <v>13</v>
      </c>
      <c r="D92" s="1">
        <v>26</v>
      </c>
      <c r="E92" s="1">
        <v>16</v>
      </c>
      <c r="F92" s="1">
        <v>16</v>
      </c>
      <c r="G92" s="1">
        <v>52</v>
      </c>
      <c r="H92" s="1">
        <f t="shared" si="43"/>
        <v>123</v>
      </c>
      <c r="I92" s="1">
        <f t="shared" si="44"/>
        <v>62</v>
      </c>
      <c r="J92" s="10"/>
      <c r="K92" s="1">
        <v>18</v>
      </c>
      <c r="L92" s="1">
        <v>33</v>
      </c>
      <c r="M92" s="1">
        <v>14</v>
      </c>
      <c r="N92" s="1">
        <v>16</v>
      </c>
      <c r="O92" s="1">
        <v>54</v>
      </c>
      <c r="P92" s="1">
        <f t="shared" si="45"/>
        <v>135</v>
      </c>
      <c r="Q92" s="1">
        <f t="shared" si="46"/>
        <v>68</v>
      </c>
      <c r="R92" s="1"/>
      <c r="S92" s="59">
        <v>22</v>
      </c>
      <c r="T92" s="59">
        <v>49</v>
      </c>
      <c r="U92" s="59">
        <v>20</v>
      </c>
      <c r="V92" s="59">
        <v>17</v>
      </c>
      <c r="W92" s="59">
        <v>52</v>
      </c>
      <c r="X92" s="59">
        <f t="shared" si="47"/>
        <v>160</v>
      </c>
      <c r="Y92" s="59">
        <f t="shared" si="48"/>
        <v>80</v>
      </c>
      <c r="Z92" s="58"/>
      <c r="AA92" s="1">
        <v>18</v>
      </c>
      <c r="AB92" s="1">
        <v>17</v>
      </c>
      <c r="AC92" s="1">
        <v>12</v>
      </c>
      <c r="AD92" s="1">
        <v>9</v>
      </c>
      <c r="AE92" s="1">
        <v>34</v>
      </c>
      <c r="AF92" s="1">
        <f t="shared" si="49"/>
        <v>90</v>
      </c>
      <c r="AG92" s="1">
        <f t="shared" si="50"/>
        <v>45</v>
      </c>
      <c r="AH92" s="10"/>
      <c r="AI92" s="1">
        <v>18</v>
      </c>
      <c r="AJ92" s="1">
        <v>32</v>
      </c>
      <c r="AK92" s="1">
        <v>15</v>
      </c>
      <c r="AL92" s="1">
        <v>19</v>
      </c>
      <c r="AM92" s="1">
        <v>54</v>
      </c>
      <c r="AN92" s="1">
        <f t="shared" si="51"/>
        <v>138</v>
      </c>
      <c r="AO92" s="1">
        <f t="shared" si="52"/>
        <v>69</v>
      </c>
      <c r="AP92" s="10"/>
      <c r="AQ92" s="1">
        <v>8</v>
      </c>
      <c r="AR92" s="1">
        <v>18</v>
      </c>
      <c r="AS92" s="1">
        <v>3</v>
      </c>
      <c r="AT92" s="1">
        <v>18</v>
      </c>
      <c r="AU92" s="1">
        <v>8</v>
      </c>
      <c r="AV92" s="1">
        <v>17</v>
      </c>
      <c r="AW92" s="1">
        <v>5</v>
      </c>
      <c r="AX92" s="1">
        <v>8</v>
      </c>
      <c r="AY92" s="1">
        <f t="shared" si="42"/>
        <v>16</v>
      </c>
      <c r="AZ92" s="1">
        <f t="shared" si="41"/>
        <v>35</v>
      </c>
      <c r="BA92" s="1">
        <f t="shared" si="40"/>
        <v>8</v>
      </c>
      <c r="BB92" s="1">
        <v>15</v>
      </c>
      <c r="BC92" s="1">
        <f t="shared" si="56"/>
        <v>26</v>
      </c>
      <c r="BD92" s="1">
        <f t="shared" si="57"/>
        <v>100</v>
      </c>
      <c r="BE92" s="1">
        <f t="shared" si="58"/>
        <v>50</v>
      </c>
      <c r="BF92" s="1"/>
      <c r="BG92" s="1"/>
      <c r="BH92" s="1"/>
      <c r="BI92" s="10"/>
      <c r="BJ92" s="10"/>
      <c r="BK92" s="10"/>
      <c r="BL92" s="10"/>
      <c r="BM92" s="10"/>
      <c r="BN92" s="10"/>
      <c r="BO92" s="10" t="s">
        <v>371</v>
      </c>
      <c r="BP92" s="10" t="s">
        <v>371</v>
      </c>
      <c r="BQ92" s="50"/>
      <c r="BR92" s="50">
        <f t="shared" si="54"/>
        <v>374</v>
      </c>
      <c r="BS92" s="51">
        <f t="shared" si="55"/>
        <v>62.333333333333336</v>
      </c>
      <c r="BT92" s="52" t="str">
        <f t="shared" si="53"/>
        <v>GRADE I</v>
      </c>
      <c r="BU92" s="10"/>
    </row>
    <row r="93" spans="1:73" ht="18" customHeight="1" x14ac:dyDescent="0.25">
      <c r="A93" s="2">
        <v>88</v>
      </c>
      <c r="B93" s="5" t="s">
        <v>215</v>
      </c>
      <c r="C93" s="1">
        <v>13</v>
      </c>
      <c r="D93" s="1">
        <v>25</v>
      </c>
      <c r="E93" s="1">
        <v>16</v>
      </c>
      <c r="F93" s="1">
        <v>17</v>
      </c>
      <c r="G93" s="1">
        <v>47</v>
      </c>
      <c r="H93" s="1">
        <f t="shared" si="43"/>
        <v>118</v>
      </c>
      <c r="I93" s="1">
        <f t="shared" si="44"/>
        <v>59</v>
      </c>
      <c r="J93" s="10"/>
      <c r="K93" s="1">
        <v>20</v>
      </c>
      <c r="L93" s="1">
        <v>37</v>
      </c>
      <c r="M93" s="1">
        <v>18</v>
      </c>
      <c r="N93" s="1">
        <v>16</v>
      </c>
      <c r="O93" s="1">
        <v>56</v>
      </c>
      <c r="P93" s="1">
        <f t="shared" si="45"/>
        <v>147</v>
      </c>
      <c r="Q93" s="1">
        <f t="shared" si="46"/>
        <v>74</v>
      </c>
      <c r="R93" s="1"/>
      <c r="S93" s="59">
        <v>25</v>
      </c>
      <c r="T93" s="59">
        <v>39</v>
      </c>
      <c r="U93" s="59">
        <v>23</v>
      </c>
      <c r="V93" s="59">
        <v>19</v>
      </c>
      <c r="W93" s="59">
        <v>66</v>
      </c>
      <c r="X93" s="59">
        <f t="shared" si="47"/>
        <v>172</v>
      </c>
      <c r="Y93" s="59">
        <f t="shared" si="48"/>
        <v>86</v>
      </c>
      <c r="Z93" s="58"/>
      <c r="AA93" s="1">
        <v>24</v>
      </c>
      <c r="AB93" s="1">
        <v>36</v>
      </c>
      <c r="AC93" s="1">
        <v>19</v>
      </c>
      <c r="AD93" s="1">
        <v>18</v>
      </c>
      <c r="AE93" s="1">
        <v>52</v>
      </c>
      <c r="AF93" s="1">
        <f t="shared" si="49"/>
        <v>149</v>
      </c>
      <c r="AG93" s="1">
        <f t="shared" si="50"/>
        <v>75</v>
      </c>
      <c r="AH93" s="10"/>
      <c r="AI93" s="1">
        <v>19</v>
      </c>
      <c r="AJ93" s="1">
        <v>45</v>
      </c>
      <c r="AK93" s="1">
        <v>16</v>
      </c>
      <c r="AL93" s="1">
        <v>18</v>
      </c>
      <c r="AM93" s="1">
        <v>66</v>
      </c>
      <c r="AN93" s="1">
        <f t="shared" si="51"/>
        <v>164</v>
      </c>
      <c r="AO93" s="1">
        <f t="shared" si="52"/>
        <v>82</v>
      </c>
      <c r="AP93" s="10"/>
      <c r="AQ93" s="1">
        <v>13</v>
      </c>
      <c r="AR93" s="1">
        <v>13.5</v>
      </c>
      <c r="AS93" s="1">
        <v>5.5</v>
      </c>
      <c r="AT93" s="1">
        <v>20</v>
      </c>
      <c r="AU93" s="1">
        <v>10</v>
      </c>
      <c r="AV93" s="1">
        <v>15.5</v>
      </c>
      <c r="AW93" s="1">
        <v>9</v>
      </c>
      <c r="AX93" s="1">
        <v>27</v>
      </c>
      <c r="AY93" s="1">
        <f t="shared" si="42"/>
        <v>23</v>
      </c>
      <c r="AZ93" s="1">
        <f t="shared" si="41"/>
        <v>29</v>
      </c>
      <c r="BA93" s="1">
        <f t="shared" si="40"/>
        <v>15</v>
      </c>
      <c r="BB93" s="1">
        <v>16</v>
      </c>
      <c r="BC93" s="1">
        <f t="shared" si="56"/>
        <v>47</v>
      </c>
      <c r="BD93" s="1">
        <f t="shared" si="57"/>
        <v>130</v>
      </c>
      <c r="BE93" s="1">
        <f t="shared" si="58"/>
        <v>65</v>
      </c>
      <c r="BF93" s="1"/>
      <c r="BG93" s="1"/>
      <c r="BH93" s="1"/>
      <c r="BI93" s="10"/>
      <c r="BJ93" s="10"/>
      <c r="BK93" s="10"/>
      <c r="BL93" s="10"/>
      <c r="BM93" s="10"/>
      <c r="BN93" s="10"/>
      <c r="BO93" s="10" t="s">
        <v>371</v>
      </c>
      <c r="BP93" s="10" t="s">
        <v>371</v>
      </c>
      <c r="BQ93" s="50"/>
      <c r="BR93" s="50">
        <f t="shared" si="54"/>
        <v>441</v>
      </c>
      <c r="BS93" s="51">
        <f t="shared" si="55"/>
        <v>73.5</v>
      </c>
      <c r="BT93" s="52" t="str">
        <f t="shared" si="53"/>
        <v>GRADE I</v>
      </c>
      <c r="BU93" s="10"/>
    </row>
    <row r="94" spans="1:73" ht="18" customHeight="1" x14ac:dyDescent="0.25">
      <c r="A94" s="2">
        <v>89</v>
      </c>
      <c r="B94" s="5" t="s">
        <v>216</v>
      </c>
      <c r="C94" s="1">
        <v>8</v>
      </c>
      <c r="D94" s="1">
        <v>7</v>
      </c>
      <c r="E94" s="1">
        <v>9</v>
      </c>
      <c r="F94" s="1">
        <v>13</v>
      </c>
      <c r="G94" s="1">
        <v>28</v>
      </c>
      <c r="H94" s="1">
        <f t="shared" si="43"/>
        <v>65</v>
      </c>
      <c r="I94" s="1">
        <f t="shared" si="44"/>
        <v>33</v>
      </c>
      <c r="J94" s="10">
        <v>2</v>
      </c>
      <c r="K94" s="1">
        <v>10</v>
      </c>
      <c r="L94" s="1">
        <v>20</v>
      </c>
      <c r="M94" s="1">
        <v>11</v>
      </c>
      <c r="N94" s="1">
        <v>12</v>
      </c>
      <c r="O94" s="1">
        <v>24</v>
      </c>
      <c r="P94" s="1">
        <f t="shared" si="45"/>
        <v>77</v>
      </c>
      <c r="Q94" s="1">
        <f t="shared" si="46"/>
        <v>39</v>
      </c>
      <c r="R94" s="1"/>
      <c r="S94" s="59">
        <v>13</v>
      </c>
      <c r="T94" s="59">
        <v>28</v>
      </c>
      <c r="U94" s="59">
        <v>11</v>
      </c>
      <c r="V94" s="59">
        <v>16</v>
      </c>
      <c r="W94" s="59">
        <v>41</v>
      </c>
      <c r="X94" s="59">
        <f t="shared" si="47"/>
        <v>109</v>
      </c>
      <c r="Y94" s="59">
        <f t="shared" si="48"/>
        <v>55</v>
      </c>
      <c r="Z94" s="58"/>
      <c r="AA94" s="1">
        <v>18</v>
      </c>
      <c r="AB94" s="1">
        <v>15</v>
      </c>
      <c r="AC94" s="1">
        <v>10</v>
      </c>
      <c r="AD94" s="1">
        <v>16</v>
      </c>
      <c r="AE94" s="1">
        <v>33</v>
      </c>
      <c r="AF94" s="1">
        <f t="shared" si="49"/>
        <v>92</v>
      </c>
      <c r="AG94" s="1">
        <f t="shared" si="50"/>
        <v>46</v>
      </c>
      <c r="AH94" s="10"/>
      <c r="AI94" s="1">
        <v>13</v>
      </c>
      <c r="AJ94" s="1">
        <v>15</v>
      </c>
      <c r="AK94" s="1">
        <v>11</v>
      </c>
      <c r="AL94" s="1">
        <v>13</v>
      </c>
      <c r="AM94" s="1">
        <v>32</v>
      </c>
      <c r="AN94" s="1">
        <f t="shared" si="51"/>
        <v>84</v>
      </c>
      <c r="AO94" s="1">
        <f t="shared" si="52"/>
        <v>42</v>
      </c>
      <c r="AP94" s="10"/>
      <c r="AQ94" s="1">
        <v>8</v>
      </c>
      <c r="AR94" s="1">
        <v>10</v>
      </c>
      <c r="AS94" s="1">
        <v>3</v>
      </c>
      <c r="AT94" s="1">
        <v>13</v>
      </c>
      <c r="AU94" s="1">
        <v>6</v>
      </c>
      <c r="AV94" s="1">
        <v>8.5</v>
      </c>
      <c r="AW94" s="1">
        <v>5</v>
      </c>
      <c r="AX94" s="1">
        <v>16</v>
      </c>
      <c r="AY94" s="1">
        <f t="shared" si="42"/>
        <v>14</v>
      </c>
      <c r="AZ94" s="1">
        <f t="shared" si="41"/>
        <v>19</v>
      </c>
      <c r="BA94" s="1">
        <f t="shared" si="40"/>
        <v>8</v>
      </c>
      <c r="BB94" s="1">
        <v>13</v>
      </c>
      <c r="BC94" s="1">
        <f t="shared" si="56"/>
        <v>29</v>
      </c>
      <c r="BD94" s="1">
        <f t="shared" si="57"/>
        <v>83</v>
      </c>
      <c r="BE94" s="1">
        <f t="shared" si="58"/>
        <v>42</v>
      </c>
      <c r="BF94" s="1"/>
      <c r="BG94" s="1"/>
      <c r="BH94" s="1"/>
      <c r="BI94" s="10"/>
      <c r="BJ94" s="10"/>
      <c r="BK94" s="10"/>
      <c r="BL94" s="10"/>
      <c r="BM94" s="10"/>
      <c r="BN94" s="10"/>
      <c r="BO94" s="10" t="s">
        <v>371</v>
      </c>
      <c r="BP94" s="10" t="s">
        <v>372</v>
      </c>
      <c r="BQ94" s="50">
        <f t="shared" si="59"/>
        <v>2</v>
      </c>
      <c r="BR94" s="50">
        <f t="shared" si="54"/>
        <v>257</v>
      </c>
      <c r="BS94" s="51">
        <f t="shared" si="55"/>
        <v>42.833333333333336</v>
      </c>
      <c r="BT94" s="52" t="s">
        <v>375</v>
      </c>
      <c r="BU94" s="10"/>
    </row>
    <row r="95" spans="1:73" ht="18" customHeight="1" x14ac:dyDescent="0.25">
      <c r="A95" s="2">
        <v>90</v>
      </c>
      <c r="B95" s="5" t="s">
        <v>217</v>
      </c>
      <c r="C95" s="1">
        <v>10</v>
      </c>
      <c r="D95" s="1">
        <v>14</v>
      </c>
      <c r="E95" s="1">
        <v>8</v>
      </c>
      <c r="F95" s="1">
        <v>16</v>
      </c>
      <c r="G95" s="1">
        <v>36</v>
      </c>
      <c r="H95" s="1">
        <f t="shared" si="43"/>
        <v>84</v>
      </c>
      <c r="I95" s="1">
        <f t="shared" si="44"/>
        <v>42</v>
      </c>
      <c r="J95" s="10"/>
      <c r="K95" s="1">
        <v>12</v>
      </c>
      <c r="L95" s="1">
        <v>31</v>
      </c>
      <c r="M95" s="1">
        <v>11</v>
      </c>
      <c r="N95" s="1">
        <v>16</v>
      </c>
      <c r="O95" s="1">
        <v>29</v>
      </c>
      <c r="P95" s="1">
        <f t="shared" si="45"/>
        <v>99</v>
      </c>
      <c r="Q95" s="1">
        <f t="shared" si="46"/>
        <v>50</v>
      </c>
      <c r="R95" s="1"/>
      <c r="S95" s="59">
        <v>8</v>
      </c>
      <c r="T95" s="59">
        <v>22</v>
      </c>
      <c r="U95" s="59">
        <v>9</v>
      </c>
      <c r="V95" s="59">
        <v>13</v>
      </c>
      <c r="W95" s="59">
        <v>20</v>
      </c>
      <c r="X95" s="59">
        <f t="shared" si="47"/>
        <v>72</v>
      </c>
      <c r="Y95" s="59">
        <f t="shared" si="48"/>
        <v>36</v>
      </c>
      <c r="Z95" s="58"/>
      <c r="AA95" s="1">
        <v>5</v>
      </c>
      <c r="AB95" s="1">
        <v>5</v>
      </c>
      <c r="AC95" s="1">
        <v>4</v>
      </c>
      <c r="AD95" s="1">
        <v>19</v>
      </c>
      <c r="AE95" s="1">
        <v>24</v>
      </c>
      <c r="AF95" s="1">
        <f t="shared" si="49"/>
        <v>57</v>
      </c>
      <c r="AG95" s="1">
        <f t="shared" si="50"/>
        <v>29</v>
      </c>
      <c r="AH95" s="10">
        <v>6</v>
      </c>
      <c r="AI95" s="1">
        <v>2</v>
      </c>
      <c r="AJ95" s="1">
        <v>10</v>
      </c>
      <c r="AK95" s="1">
        <v>4</v>
      </c>
      <c r="AL95" s="1">
        <v>12</v>
      </c>
      <c r="AM95" s="1">
        <v>37</v>
      </c>
      <c r="AN95" s="1">
        <f t="shared" si="51"/>
        <v>65</v>
      </c>
      <c r="AO95" s="1">
        <f t="shared" si="52"/>
        <v>33</v>
      </c>
      <c r="AP95" s="10">
        <v>2</v>
      </c>
      <c r="AQ95" s="1">
        <v>4</v>
      </c>
      <c r="AR95" s="1">
        <v>1</v>
      </c>
      <c r="AS95" s="1">
        <v>2</v>
      </c>
      <c r="AT95" s="1">
        <v>8</v>
      </c>
      <c r="AU95" s="1">
        <v>0</v>
      </c>
      <c r="AV95" s="1">
        <v>4.5</v>
      </c>
      <c r="AW95" s="1">
        <v>4.5</v>
      </c>
      <c r="AX95" s="1">
        <v>15</v>
      </c>
      <c r="AY95" s="1">
        <f t="shared" ref="AY95:AY104" si="60">ROUND(AQ95+AU95,0)</f>
        <v>4</v>
      </c>
      <c r="AZ95" s="1">
        <f t="shared" si="41"/>
        <v>6</v>
      </c>
      <c r="BA95" s="1">
        <f t="shared" ref="BA95:BA104" si="61">ROUND(AS95+AW95,0)</f>
        <v>7</v>
      </c>
      <c r="BB95" s="1">
        <v>15</v>
      </c>
      <c r="BC95" s="1">
        <f t="shared" si="56"/>
        <v>23</v>
      </c>
      <c r="BD95" s="1">
        <f t="shared" si="57"/>
        <v>55</v>
      </c>
      <c r="BE95" s="1">
        <f t="shared" si="58"/>
        <v>28</v>
      </c>
      <c r="BF95" s="1">
        <v>7</v>
      </c>
      <c r="BG95" s="1"/>
      <c r="BH95" s="1"/>
      <c r="BI95" s="10"/>
      <c r="BJ95" s="10"/>
      <c r="BK95" s="10"/>
      <c r="BL95" s="10"/>
      <c r="BM95" s="10"/>
      <c r="BN95" s="10"/>
      <c r="BO95" s="10" t="s">
        <v>372</v>
      </c>
      <c r="BP95" s="10" t="s">
        <v>371</v>
      </c>
      <c r="BQ95" s="50">
        <v>15</v>
      </c>
      <c r="BR95" s="50">
        <f t="shared" si="54"/>
        <v>218</v>
      </c>
      <c r="BS95" s="51">
        <f t="shared" si="55"/>
        <v>36.333333333333336</v>
      </c>
      <c r="BT95" s="52" t="s">
        <v>375</v>
      </c>
      <c r="BU95" s="10"/>
    </row>
    <row r="96" spans="1:73" ht="18" customHeight="1" x14ac:dyDescent="0.25">
      <c r="A96" s="2">
        <v>91</v>
      </c>
      <c r="B96" s="5" t="s">
        <v>218</v>
      </c>
      <c r="C96" s="1">
        <v>9</v>
      </c>
      <c r="D96" s="1">
        <v>20</v>
      </c>
      <c r="E96" s="1">
        <v>16</v>
      </c>
      <c r="F96" s="1">
        <v>12</v>
      </c>
      <c r="G96" s="1">
        <v>37</v>
      </c>
      <c r="H96" s="1">
        <f t="shared" si="43"/>
        <v>94</v>
      </c>
      <c r="I96" s="1">
        <f t="shared" si="44"/>
        <v>47</v>
      </c>
      <c r="J96" s="10"/>
      <c r="K96" s="1">
        <v>13</v>
      </c>
      <c r="L96" s="1">
        <v>21</v>
      </c>
      <c r="M96" s="1">
        <v>15</v>
      </c>
      <c r="N96" s="1">
        <v>15</v>
      </c>
      <c r="O96" s="1">
        <v>34</v>
      </c>
      <c r="P96" s="1">
        <f t="shared" si="45"/>
        <v>98</v>
      </c>
      <c r="Q96" s="1">
        <f t="shared" si="46"/>
        <v>49</v>
      </c>
      <c r="R96" s="1"/>
      <c r="S96" s="59">
        <v>22</v>
      </c>
      <c r="T96" s="59">
        <v>15</v>
      </c>
      <c r="U96" s="59">
        <v>16</v>
      </c>
      <c r="V96" s="59">
        <v>14</v>
      </c>
      <c r="W96" s="59">
        <v>24</v>
      </c>
      <c r="X96" s="59">
        <f t="shared" si="47"/>
        <v>91</v>
      </c>
      <c r="Y96" s="59">
        <f t="shared" si="48"/>
        <v>46</v>
      </c>
      <c r="Z96" s="58"/>
      <c r="AA96" s="1">
        <v>10</v>
      </c>
      <c r="AB96" s="1">
        <v>16</v>
      </c>
      <c r="AC96" s="1">
        <v>7</v>
      </c>
      <c r="AD96" s="1">
        <v>14</v>
      </c>
      <c r="AE96" s="1">
        <v>23</v>
      </c>
      <c r="AF96" s="1">
        <f t="shared" si="49"/>
        <v>70</v>
      </c>
      <c r="AG96" s="1">
        <f t="shared" si="50"/>
        <v>35</v>
      </c>
      <c r="AH96" s="10"/>
      <c r="AI96" s="1">
        <v>10</v>
      </c>
      <c r="AJ96" s="1">
        <v>14</v>
      </c>
      <c r="AK96" s="1">
        <v>4</v>
      </c>
      <c r="AL96" s="1">
        <v>11</v>
      </c>
      <c r="AM96" s="1">
        <v>21</v>
      </c>
      <c r="AN96" s="1">
        <f t="shared" si="51"/>
        <v>60</v>
      </c>
      <c r="AO96" s="1">
        <f t="shared" si="52"/>
        <v>30</v>
      </c>
      <c r="AP96" s="10">
        <v>5</v>
      </c>
      <c r="AQ96" s="1">
        <v>10</v>
      </c>
      <c r="AR96" s="1">
        <v>1</v>
      </c>
      <c r="AS96" s="1">
        <v>1</v>
      </c>
      <c r="AT96" s="1">
        <v>8</v>
      </c>
      <c r="AU96" s="1">
        <v>0</v>
      </c>
      <c r="AV96" s="1">
        <v>5</v>
      </c>
      <c r="AW96" s="1">
        <v>3</v>
      </c>
      <c r="AX96" s="1">
        <v>8</v>
      </c>
      <c r="AY96" s="1">
        <f t="shared" si="60"/>
        <v>10</v>
      </c>
      <c r="AZ96" s="1">
        <f t="shared" si="41"/>
        <v>6</v>
      </c>
      <c r="BA96" s="1">
        <f t="shared" si="61"/>
        <v>4</v>
      </c>
      <c r="BB96" s="1">
        <v>14</v>
      </c>
      <c r="BC96" s="1">
        <f t="shared" si="56"/>
        <v>16</v>
      </c>
      <c r="BD96" s="1">
        <f t="shared" si="57"/>
        <v>50</v>
      </c>
      <c r="BE96" s="1">
        <f t="shared" si="58"/>
        <v>25</v>
      </c>
      <c r="BF96" s="1">
        <v>10</v>
      </c>
      <c r="BG96" s="1"/>
      <c r="BH96" s="1"/>
      <c r="BI96" s="10"/>
      <c r="BJ96" s="10"/>
      <c r="BK96" s="10"/>
      <c r="BL96" s="10"/>
      <c r="BM96" s="10"/>
      <c r="BN96" s="10"/>
      <c r="BO96" s="10" t="s">
        <v>372</v>
      </c>
      <c r="BP96" s="10" t="s">
        <v>372</v>
      </c>
      <c r="BQ96" s="50">
        <v>15</v>
      </c>
      <c r="BR96" s="50">
        <f t="shared" si="54"/>
        <v>232</v>
      </c>
      <c r="BS96" s="51">
        <f t="shared" si="55"/>
        <v>38.666666666666664</v>
      </c>
      <c r="BT96" s="52" t="s">
        <v>375</v>
      </c>
      <c r="BU96" s="10"/>
    </row>
    <row r="97" spans="1:73" ht="18" customHeight="1" x14ac:dyDescent="0.25">
      <c r="A97" s="2">
        <v>92</v>
      </c>
      <c r="B97" s="5" t="s">
        <v>219</v>
      </c>
      <c r="C97" s="1">
        <v>11</v>
      </c>
      <c r="D97" s="1">
        <v>27</v>
      </c>
      <c r="E97" s="1">
        <v>16</v>
      </c>
      <c r="F97" s="1">
        <v>17</v>
      </c>
      <c r="G97" s="1">
        <v>41</v>
      </c>
      <c r="H97" s="1">
        <f t="shared" si="43"/>
        <v>112</v>
      </c>
      <c r="I97" s="1">
        <f t="shared" si="44"/>
        <v>56</v>
      </c>
      <c r="J97" s="10"/>
      <c r="K97" s="1">
        <v>13</v>
      </c>
      <c r="L97" s="1">
        <v>31</v>
      </c>
      <c r="M97" s="1">
        <v>16</v>
      </c>
      <c r="N97" s="1">
        <v>15</v>
      </c>
      <c r="O97" s="1">
        <v>42</v>
      </c>
      <c r="P97" s="1">
        <f t="shared" si="45"/>
        <v>117</v>
      </c>
      <c r="Q97" s="1">
        <f t="shared" si="46"/>
        <v>59</v>
      </c>
      <c r="R97" s="1"/>
      <c r="S97" s="59">
        <v>22</v>
      </c>
      <c r="T97" s="59">
        <v>42</v>
      </c>
      <c r="U97" s="59">
        <v>19</v>
      </c>
      <c r="V97" s="59">
        <v>19</v>
      </c>
      <c r="W97" s="59">
        <v>62</v>
      </c>
      <c r="X97" s="59">
        <f t="shared" si="47"/>
        <v>164</v>
      </c>
      <c r="Y97" s="59">
        <f t="shared" si="48"/>
        <v>82</v>
      </c>
      <c r="Z97" s="58"/>
      <c r="AA97" s="1">
        <v>24</v>
      </c>
      <c r="AB97" s="1">
        <v>31</v>
      </c>
      <c r="AC97" s="1">
        <v>12</v>
      </c>
      <c r="AD97" s="1">
        <v>15</v>
      </c>
      <c r="AE97" s="1">
        <v>60</v>
      </c>
      <c r="AF97" s="1">
        <f t="shared" si="49"/>
        <v>142</v>
      </c>
      <c r="AG97" s="1">
        <f t="shared" si="50"/>
        <v>71</v>
      </c>
      <c r="AH97" s="10"/>
      <c r="AI97" s="1">
        <v>23</v>
      </c>
      <c r="AJ97" s="1">
        <v>45</v>
      </c>
      <c r="AK97" s="1">
        <v>15</v>
      </c>
      <c r="AL97" s="1">
        <v>19</v>
      </c>
      <c r="AM97" s="1">
        <v>65</v>
      </c>
      <c r="AN97" s="1">
        <f t="shared" si="51"/>
        <v>167</v>
      </c>
      <c r="AO97" s="1">
        <f t="shared" si="52"/>
        <v>84</v>
      </c>
      <c r="AP97" s="10"/>
      <c r="AQ97" s="1">
        <v>9</v>
      </c>
      <c r="AR97" s="1">
        <v>19.5</v>
      </c>
      <c r="AS97" s="1">
        <v>2</v>
      </c>
      <c r="AT97" s="1">
        <v>22</v>
      </c>
      <c r="AU97" s="1">
        <v>6.5</v>
      </c>
      <c r="AV97" s="1">
        <v>14.5</v>
      </c>
      <c r="AW97" s="1">
        <v>6</v>
      </c>
      <c r="AX97" s="1">
        <v>26</v>
      </c>
      <c r="AY97" s="1">
        <f t="shared" si="60"/>
        <v>16</v>
      </c>
      <c r="AZ97" s="1">
        <f t="shared" si="41"/>
        <v>34</v>
      </c>
      <c r="BA97" s="1">
        <f t="shared" si="61"/>
        <v>8</v>
      </c>
      <c r="BB97" s="1">
        <v>16</v>
      </c>
      <c r="BC97" s="1">
        <f t="shared" si="56"/>
        <v>48</v>
      </c>
      <c r="BD97" s="1">
        <f t="shared" si="57"/>
        <v>122</v>
      </c>
      <c r="BE97" s="1">
        <f t="shared" si="58"/>
        <v>61</v>
      </c>
      <c r="BF97" s="1"/>
      <c r="BG97" s="1"/>
      <c r="BH97" s="1"/>
      <c r="BI97" s="10"/>
      <c r="BJ97" s="10"/>
      <c r="BK97" s="10"/>
      <c r="BL97" s="10"/>
      <c r="BM97" s="10"/>
      <c r="BN97" s="10"/>
      <c r="BO97" s="10" t="s">
        <v>371</v>
      </c>
      <c r="BP97" s="10" t="s">
        <v>371</v>
      </c>
      <c r="BQ97" s="50"/>
      <c r="BR97" s="50">
        <f t="shared" si="54"/>
        <v>413</v>
      </c>
      <c r="BS97" s="51">
        <f t="shared" si="55"/>
        <v>68.833333333333329</v>
      </c>
      <c r="BT97" s="52" t="str">
        <f t="shared" si="53"/>
        <v>GRADE I</v>
      </c>
      <c r="BU97" s="10"/>
    </row>
    <row r="98" spans="1:73" ht="18" customHeight="1" x14ac:dyDescent="0.25">
      <c r="A98" s="2">
        <v>93</v>
      </c>
      <c r="B98" s="5" t="s">
        <v>220</v>
      </c>
      <c r="C98" s="1">
        <v>11</v>
      </c>
      <c r="D98" s="1">
        <v>26</v>
      </c>
      <c r="E98" s="1">
        <v>16</v>
      </c>
      <c r="F98" s="1">
        <v>14</v>
      </c>
      <c r="G98" s="1">
        <v>50</v>
      </c>
      <c r="H98" s="1">
        <f t="shared" si="43"/>
        <v>117</v>
      </c>
      <c r="I98" s="1">
        <f t="shared" si="44"/>
        <v>59</v>
      </c>
      <c r="J98" s="10"/>
      <c r="K98" s="1">
        <v>16</v>
      </c>
      <c r="L98" s="1">
        <v>35</v>
      </c>
      <c r="M98" s="1">
        <v>13</v>
      </c>
      <c r="N98" s="1">
        <v>15</v>
      </c>
      <c r="O98" s="1">
        <v>48</v>
      </c>
      <c r="P98" s="1">
        <f t="shared" si="45"/>
        <v>127</v>
      </c>
      <c r="Q98" s="1">
        <f t="shared" si="46"/>
        <v>64</v>
      </c>
      <c r="R98" s="1"/>
      <c r="S98" s="59">
        <v>25</v>
      </c>
      <c r="T98" s="59">
        <v>49</v>
      </c>
      <c r="U98" s="59">
        <v>16</v>
      </c>
      <c r="V98" s="59">
        <v>18</v>
      </c>
      <c r="W98" s="59">
        <v>66</v>
      </c>
      <c r="X98" s="59">
        <f t="shared" si="47"/>
        <v>174</v>
      </c>
      <c r="Y98" s="59">
        <f t="shared" si="48"/>
        <v>87</v>
      </c>
      <c r="Z98" s="58"/>
      <c r="AA98" s="1">
        <v>22</v>
      </c>
      <c r="AB98" s="1">
        <v>25</v>
      </c>
      <c r="AC98" s="1">
        <v>18</v>
      </c>
      <c r="AD98" s="1">
        <v>17</v>
      </c>
      <c r="AE98" s="1">
        <v>58</v>
      </c>
      <c r="AF98" s="1">
        <f t="shared" si="49"/>
        <v>140</v>
      </c>
      <c r="AG98" s="1">
        <f t="shared" si="50"/>
        <v>70</v>
      </c>
      <c r="AH98" s="10"/>
      <c r="AI98" s="1">
        <v>25</v>
      </c>
      <c r="AJ98" s="1">
        <v>45</v>
      </c>
      <c r="AK98" s="1">
        <v>16</v>
      </c>
      <c r="AL98" s="1">
        <v>18</v>
      </c>
      <c r="AM98" s="1">
        <v>71</v>
      </c>
      <c r="AN98" s="1">
        <f t="shared" si="51"/>
        <v>175</v>
      </c>
      <c r="AO98" s="1">
        <f t="shared" si="52"/>
        <v>88</v>
      </c>
      <c r="AP98" s="10"/>
      <c r="AQ98" s="1">
        <v>10</v>
      </c>
      <c r="AR98" s="1">
        <v>8.5</v>
      </c>
      <c r="AS98" s="1">
        <v>4.5</v>
      </c>
      <c r="AT98" s="1">
        <v>24</v>
      </c>
      <c r="AU98" s="1">
        <v>5</v>
      </c>
      <c r="AV98" s="1">
        <v>15</v>
      </c>
      <c r="AW98" s="1">
        <v>4.5</v>
      </c>
      <c r="AX98" s="1">
        <v>25</v>
      </c>
      <c r="AY98" s="1">
        <f t="shared" si="60"/>
        <v>15</v>
      </c>
      <c r="AZ98" s="1">
        <f t="shared" si="41"/>
        <v>24</v>
      </c>
      <c r="BA98" s="1">
        <f t="shared" si="61"/>
        <v>9</v>
      </c>
      <c r="BB98" s="1">
        <v>15</v>
      </c>
      <c r="BC98" s="1">
        <f t="shared" si="56"/>
        <v>49</v>
      </c>
      <c r="BD98" s="1">
        <f t="shared" si="57"/>
        <v>112</v>
      </c>
      <c r="BE98" s="1">
        <f t="shared" si="58"/>
        <v>56</v>
      </c>
      <c r="BF98" s="1"/>
      <c r="BG98" s="1"/>
      <c r="BH98" s="1"/>
      <c r="BI98" s="10"/>
      <c r="BJ98" s="10"/>
      <c r="BK98" s="10"/>
      <c r="BL98" s="10"/>
      <c r="BM98" s="10"/>
      <c r="BN98" s="10"/>
      <c r="BO98" s="10" t="s">
        <v>371</v>
      </c>
      <c r="BP98" s="10" t="s">
        <v>371</v>
      </c>
      <c r="BQ98" s="50"/>
      <c r="BR98" s="50">
        <f t="shared" si="54"/>
        <v>424</v>
      </c>
      <c r="BS98" s="51">
        <f t="shared" si="55"/>
        <v>70.666666666666671</v>
      </c>
      <c r="BT98" s="52" t="str">
        <f t="shared" si="53"/>
        <v>GRADE I</v>
      </c>
      <c r="BU98" s="10"/>
    </row>
    <row r="99" spans="1:73" ht="18" customHeight="1" x14ac:dyDescent="0.25">
      <c r="A99" s="2">
        <v>94</v>
      </c>
      <c r="B99" s="5" t="s">
        <v>221</v>
      </c>
      <c r="C99" s="1">
        <v>11</v>
      </c>
      <c r="D99" s="1">
        <v>22</v>
      </c>
      <c r="E99" s="1">
        <v>15</v>
      </c>
      <c r="F99" s="1">
        <v>16</v>
      </c>
      <c r="G99" s="1">
        <v>51</v>
      </c>
      <c r="H99" s="1">
        <f t="shared" si="43"/>
        <v>115</v>
      </c>
      <c r="I99" s="1">
        <f t="shared" si="44"/>
        <v>58</v>
      </c>
      <c r="J99" s="10"/>
      <c r="K99" s="1">
        <v>15</v>
      </c>
      <c r="L99" s="1">
        <v>32</v>
      </c>
      <c r="M99" s="1">
        <v>12</v>
      </c>
      <c r="N99" s="1">
        <v>15</v>
      </c>
      <c r="O99" s="1">
        <v>52</v>
      </c>
      <c r="P99" s="1">
        <f t="shared" si="45"/>
        <v>126</v>
      </c>
      <c r="Q99" s="1">
        <f t="shared" si="46"/>
        <v>63</v>
      </c>
      <c r="R99" s="1"/>
      <c r="S99" s="59">
        <v>22</v>
      </c>
      <c r="T99" s="59">
        <v>44</v>
      </c>
      <c r="U99" s="59">
        <v>12</v>
      </c>
      <c r="V99" s="59">
        <v>16</v>
      </c>
      <c r="W99" s="59">
        <v>63</v>
      </c>
      <c r="X99" s="59">
        <f t="shared" si="47"/>
        <v>157</v>
      </c>
      <c r="Y99" s="59">
        <f t="shared" si="48"/>
        <v>79</v>
      </c>
      <c r="Z99" s="58"/>
      <c r="AA99" s="1">
        <v>21</v>
      </c>
      <c r="AB99" s="1">
        <v>28</v>
      </c>
      <c r="AC99" s="1">
        <v>23</v>
      </c>
      <c r="AD99" s="1">
        <v>20</v>
      </c>
      <c r="AE99" s="1">
        <v>50</v>
      </c>
      <c r="AF99" s="1">
        <f t="shared" si="49"/>
        <v>142</v>
      </c>
      <c r="AG99" s="1">
        <f t="shared" si="50"/>
        <v>71</v>
      </c>
      <c r="AH99" s="10"/>
      <c r="AI99" s="1">
        <v>16</v>
      </c>
      <c r="AJ99" s="1">
        <v>34</v>
      </c>
      <c r="AK99" s="1">
        <v>10</v>
      </c>
      <c r="AL99" s="1">
        <v>17</v>
      </c>
      <c r="AM99" s="1">
        <v>46</v>
      </c>
      <c r="AN99" s="1">
        <f t="shared" si="51"/>
        <v>123</v>
      </c>
      <c r="AO99" s="1">
        <f t="shared" si="52"/>
        <v>62</v>
      </c>
      <c r="AP99" s="10"/>
      <c r="AQ99" s="1">
        <v>10.5</v>
      </c>
      <c r="AR99" s="1">
        <v>19</v>
      </c>
      <c r="AS99" s="1">
        <v>5</v>
      </c>
      <c r="AT99" s="1">
        <v>20</v>
      </c>
      <c r="AU99" s="1">
        <v>12</v>
      </c>
      <c r="AV99" s="1">
        <v>23</v>
      </c>
      <c r="AW99" s="1">
        <v>6.5</v>
      </c>
      <c r="AX99" s="1">
        <v>21</v>
      </c>
      <c r="AY99" s="1">
        <f t="shared" si="60"/>
        <v>23</v>
      </c>
      <c r="AZ99" s="1">
        <f t="shared" si="41"/>
        <v>42</v>
      </c>
      <c r="BA99" s="1">
        <f t="shared" si="61"/>
        <v>12</v>
      </c>
      <c r="BB99" s="1">
        <v>16</v>
      </c>
      <c r="BC99" s="1">
        <f t="shared" si="56"/>
        <v>41</v>
      </c>
      <c r="BD99" s="1">
        <f t="shared" si="57"/>
        <v>134</v>
      </c>
      <c r="BE99" s="1">
        <f t="shared" si="58"/>
        <v>67</v>
      </c>
      <c r="BF99" s="1"/>
      <c r="BG99" s="1"/>
      <c r="BH99" s="1"/>
      <c r="BI99" s="10"/>
      <c r="BJ99" s="10"/>
      <c r="BK99" s="10"/>
      <c r="BL99" s="10"/>
      <c r="BM99" s="10"/>
      <c r="BN99" s="10"/>
      <c r="BO99" s="10" t="s">
        <v>371</v>
      </c>
      <c r="BP99" s="10" t="s">
        <v>371</v>
      </c>
      <c r="BQ99" s="50"/>
      <c r="BR99" s="50">
        <f t="shared" si="54"/>
        <v>400</v>
      </c>
      <c r="BS99" s="51">
        <f t="shared" si="55"/>
        <v>66.666666666666671</v>
      </c>
      <c r="BT99" s="52" t="str">
        <f t="shared" si="53"/>
        <v>GRADE I</v>
      </c>
      <c r="BU99" s="10"/>
    </row>
    <row r="100" spans="1:73" ht="18" customHeight="1" x14ac:dyDescent="0.25">
      <c r="A100" s="2">
        <v>95</v>
      </c>
      <c r="B100" s="5" t="s">
        <v>222</v>
      </c>
      <c r="C100" s="1">
        <v>10</v>
      </c>
      <c r="D100" s="1">
        <v>23</v>
      </c>
      <c r="E100" s="1">
        <v>15</v>
      </c>
      <c r="F100" s="1">
        <v>14</v>
      </c>
      <c r="G100" s="1">
        <v>52</v>
      </c>
      <c r="H100" s="1">
        <f t="shared" si="43"/>
        <v>114</v>
      </c>
      <c r="I100" s="1">
        <f t="shared" si="44"/>
        <v>57</v>
      </c>
      <c r="J100" s="10"/>
      <c r="K100" s="1">
        <v>12</v>
      </c>
      <c r="L100" s="1">
        <v>28</v>
      </c>
      <c r="M100" s="1">
        <v>15</v>
      </c>
      <c r="N100" s="1">
        <v>16</v>
      </c>
      <c r="O100" s="1">
        <v>42</v>
      </c>
      <c r="P100" s="1">
        <f t="shared" si="45"/>
        <v>113</v>
      </c>
      <c r="Q100" s="1">
        <f t="shared" si="46"/>
        <v>57</v>
      </c>
      <c r="R100" s="1"/>
      <c r="S100" s="59">
        <v>17</v>
      </c>
      <c r="T100" s="59">
        <v>31</v>
      </c>
      <c r="U100" s="59">
        <v>16</v>
      </c>
      <c r="V100" s="59">
        <v>14</v>
      </c>
      <c r="W100" s="59">
        <v>49</v>
      </c>
      <c r="X100" s="59">
        <f t="shared" si="47"/>
        <v>127</v>
      </c>
      <c r="Y100" s="59">
        <f t="shared" si="48"/>
        <v>64</v>
      </c>
      <c r="Z100" s="58"/>
      <c r="AA100" s="1">
        <v>12</v>
      </c>
      <c r="AB100" s="1">
        <v>17</v>
      </c>
      <c r="AC100" s="1">
        <v>15</v>
      </c>
      <c r="AD100" s="1">
        <v>12</v>
      </c>
      <c r="AE100" s="1">
        <v>27</v>
      </c>
      <c r="AF100" s="1">
        <f t="shared" si="49"/>
        <v>83</v>
      </c>
      <c r="AG100" s="1">
        <f t="shared" si="50"/>
        <v>42</v>
      </c>
      <c r="AH100" s="10"/>
      <c r="AI100" s="1">
        <v>15</v>
      </c>
      <c r="AJ100" s="1">
        <v>17</v>
      </c>
      <c r="AK100" s="1">
        <v>10</v>
      </c>
      <c r="AL100" s="1">
        <v>13</v>
      </c>
      <c r="AM100" s="1">
        <v>44</v>
      </c>
      <c r="AN100" s="1">
        <f t="shared" si="51"/>
        <v>99</v>
      </c>
      <c r="AO100" s="1">
        <f t="shared" si="52"/>
        <v>50</v>
      </c>
      <c r="AP100" s="10"/>
      <c r="AQ100" s="1">
        <v>8</v>
      </c>
      <c r="AR100" s="1">
        <v>4</v>
      </c>
      <c r="AS100" s="1">
        <v>1</v>
      </c>
      <c r="AT100" s="1">
        <v>6</v>
      </c>
      <c r="AU100" s="1">
        <v>1</v>
      </c>
      <c r="AV100" s="1">
        <v>7</v>
      </c>
      <c r="AW100" s="1">
        <v>2.5</v>
      </c>
      <c r="AX100" s="1">
        <v>12</v>
      </c>
      <c r="AY100" s="1">
        <f t="shared" si="60"/>
        <v>9</v>
      </c>
      <c r="AZ100" s="1">
        <f t="shared" si="41"/>
        <v>11</v>
      </c>
      <c r="BA100" s="1">
        <f t="shared" si="61"/>
        <v>4</v>
      </c>
      <c r="BB100" s="1">
        <v>11</v>
      </c>
      <c r="BC100" s="1">
        <f t="shared" si="56"/>
        <v>18</v>
      </c>
      <c r="BD100" s="1">
        <f t="shared" si="57"/>
        <v>53</v>
      </c>
      <c r="BE100" s="1">
        <f t="shared" si="58"/>
        <v>27</v>
      </c>
      <c r="BF100" s="1">
        <v>8</v>
      </c>
      <c r="BG100" s="1"/>
      <c r="BH100" s="1"/>
      <c r="BI100" s="10"/>
      <c r="BJ100" s="10"/>
      <c r="BK100" s="10"/>
      <c r="BL100" s="10"/>
      <c r="BM100" s="10"/>
      <c r="BN100" s="10"/>
      <c r="BO100" s="10" t="s">
        <v>371</v>
      </c>
      <c r="BP100" s="10" t="s">
        <v>371</v>
      </c>
      <c r="BQ100" s="50">
        <f t="shared" si="59"/>
        <v>8</v>
      </c>
      <c r="BR100" s="50">
        <f t="shared" si="54"/>
        <v>297</v>
      </c>
      <c r="BS100" s="51">
        <f t="shared" si="55"/>
        <v>49.5</v>
      </c>
      <c r="BT100" s="52" t="s">
        <v>375</v>
      </c>
      <c r="BU100" s="10"/>
    </row>
    <row r="101" spans="1:73" ht="18" customHeight="1" x14ac:dyDescent="0.25">
      <c r="A101" s="2">
        <v>96</v>
      </c>
      <c r="B101" s="5" t="s">
        <v>223</v>
      </c>
      <c r="C101" s="1">
        <v>7</v>
      </c>
      <c r="D101" s="1">
        <v>22</v>
      </c>
      <c r="E101" s="1">
        <v>12</v>
      </c>
      <c r="F101" s="1">
        <v>16</v>
      </c>
      <c r="G101" s="1">
        <v>49</v>
      </c>
      <c r="H101" s="1">
        <f t="shared" si="43"/>
        <v>106</v>
      </c>
      <c r="I101" s="1">
        <f t="shared" si="44"/>
        <v>53</v>
      </c>
      <c r="J101" s="10"/>
      <c r="K101" s="1">
        <v>4</v>
      </c>
      <c r="L101" s="1">
        <v>25</v>
      </c>
      <c r="M101" s="1">
        <v>9</v>
      </c>
      <c r="N101" s="1">
        <v>17</v>
      </c>
      <c r="O101" s="1">
        <v>34</v>
      </c>
      <c r="P101" s="1">
        <f t="shared" si="45"/>
        <v>89</v>
      </c>
      <c r="Q101" s="1">
        <f t="shared" si="46"/>
        <v>45</v>
      </c>
      <c r="R101" s="1"/>
      <c r="S101" s="59">
        <v>20</v>
      </c>
      <c r="T101" s="59">
        <v>37</v>
      </c>
      <c r="U101" s="59">
        <v>17</v>
      </c>
      <c r="V101" s="59">
        <v>17</v>
      </c>
      <c r="W101" s="59">
        <v>67</v>
      </c>
      <c r="X101" s="59">
        <f t="shared" si="47"/>
        <v>158</v>
      </c>
      <c r="Y101" s="59">
        <f t="shared" si="48"/>
        <v>79</v>
      </c>
      <c r="Z101" s="58"/>
      <c r="AA101" s="1">
        <v>16</v>
      </c>
      <c r="AB101" s="1">
        <v>20</v>
      </c>
      <c r="AC101" s="1">
        <v>11</v>
      </c>
      <c r="AD101" s="1">
        <v>13</v>
      </c>
      <c r="AE101" s="1">
        <v>32</v>
      </c>
      <c r="AF101" s="1">
        <f t="shared" si="49"/>
        <v>92</v>
      </c>
      <c r="AG101" s="1">
        <f t="shared" si="50"/>
        <v>46</v>
      </c>
      <c r="AH101" s="10"/>
      <c r="AI101" s="1">
        <v>17</v>
      </c>
      <c r="AJ101" s="1">
        <v>33</v>
      </c>
      <c r="AK101" s="1">
        <v>16</v>
      </c>
      <c r="AL101" s="1">
        <v>19</v>
      </c>
      <c r="AM101" s="1">
        <v>62</v>
      </c>
      <c r="AN101" s="1">
        <f t="shared" si="51"/>
        <v>147</v>
      </c>
      <c r="AO101" s="1">
        <f t="shared" si="52"/>
        <v>74</v>
      </c>
      <c r="AP101" s="10"/>
      <c r="AQ101" s="1">
        <v>8</v>
      </c>
      <c r="AR101" s="1">
        <v>10</v>
      </c>
      <c r="AS101" s="1">
        <v>2.5</v>
      </c>
      <c r="AT101" s="1">
        <v>18</v>
      </c>
      <c r="AU101" s="1">
        <v>8</v>
      </c>
      <c r="AV101" s="1">
        <v>7.5</v>
      </c>
      <c r="AW101" s="1">
        <v>6</v>
      </c>
      <c r="AX101" s="1">
        <v>23</v>
      </c>
      <c r="AY101" s="1">
        <f t="shared" si="60"/>
        <v>16</v>
      </c>
      <c r="AZ101" s="1">
        <f t="shared" si="41"/>
        <v>18</v>
      </c>
      <c r="BA101" s="1">
        <f t="shared" si="61"/>
        <v>9</v>
      </c>
      <c r="BB101" s="1">
        <v>16</v>
      </c>
      <c r="BC101" s="1">
        <f t="shared" si="56"/>
        <v>41</v>
      </c>
      <c r="BD101" s="1">
        <f t="shared" si="57"/>
        <v>100</v>
      </c>
      <c r="BE101" s="1">
        <f t="shared" si="58"/>
        <v>50</v>
      </c>
      <c r="BF101" s="1"/>
      <c r="BG101" s="1"/>
      <c r="BH101" s="1"/>
      <c r="BI101" s="10"/>
      <c r="BJ101" s="10"/>
      <c r="BK101" s="10"/>
      <c r="BL101" s="10"/>
      <c r="BM101" s="10"/>
      <c r="BN101" s="10"/>
      <c r="BO101" s="10" t="s">
        <v>372</v>
      </c>
      <c r="BP101" s="10" t="s">
        <v>371</v>
      </c>
      <c r="BQ101" s="50"/>
      <c r="BR101" s="50">
        <f t="shared" si="54"/>
        <v>347</v>
      </c>
      <c r="BS101" s="51">
        <f t="shared" si="55"/>
        <v>57.833333333333336</v>
      </c>
      <c r="BT101" s="52" t="str">
        <f t="shared" si="53"/>
        <v>GRADE II</v>
      </c>
      <c r="BU101" s="10"/>
    </row>
    <row r="102" spans="1:73" ht="18" customHeight="1" x14ac:dyDescent="0.25">
      <c r="A102" s="2">
        <v>97</v>
      </c>
      <c r="B102" s="5" t="s">
        <v>224</v>
      </c>
      <c r="C102" s="1">
        <v>12</v>
      </c>
      <c r="D102" s="1">
        <v>29</v>
      </c>
      <c r="E102" s="1">
        <v>15</v>
      </c>
      <c r="F102" s="1">
        <v>14</v>
      </c>
      <c r="G102" s="1">
        <v>53</v>
      </c>
      <c r="H102" s="1">
        <f t="shared" ref="H102:H125" si="62">ROUND(SUM(C102:G102),0)</f>
        <v>123</v>
      </c>
      <c r="I102" s="1">
        <f t="shared" ref="I102:I125" si="63">ROUND(H102/2,0)</f>
        <v>62</v>
      </c>
      <c r="J102" s="10"/>
      <c r="K102" s="1">
        <v>16</v>
      </c>
      <c r="L102" s="1">
        <v>25</v>
      </c>
      <c r="M102" s="1">
        <v>12</v>
      </c>
      <c r="N102" s="1">
        <v>17</v>
      </c>
      <c r="O102" s="1">
        <v>33</v>
      </c>
      <c r="P102" s="1">
        <f t="shared" ref="P102:P125" si="64">ROUND(SUM(K102:O102),0)</f>
        <v>103</v>
      </c>
      <c r="Q102" s="1">
        <f t="shared" ref="Q102:Q125" si="65">ROUND(P102/2,0)</f>
        <v>52</v>
      </c>
      <c r="R102" s="1"/>
      <c r="S102" s="59">
        <v>22</v>
      </c>
      <c r="T102" s="59">
        <v>40</v>
      </c>
      <c r="U102" s="59">
        <v>16</v>
      </c>
      <c r="V102" s="59">
        <v>17</v>
      </c>
      <c r="W102" s="59">
        <v>55</v>
      </c>
      <c r="X102" s="59">
        <f t="shared" ref="X102:X125" si="66">ROUND(SUM(S102:W102),0)</f>
        <v>150</v>
      </c>
      <c r="Y102" s="59">
        <f t="shared" ref="Y102:Y125" si="67">ROUND(X102/2,0)</f>
        <v>75</v>
      </c>
      <c r="Z102" s="58"/>
      <c r="AA102" s="1">
        <v>21</v>
      </c>
      <c r="AB102" s="1">
        <v>23</v>
      </c>
      <c r="AC102" s="1">
        <v>14</v>
      </c>
      <c r="AD102" s="1">
        <v>7</v>
      </c>
      <c r="AE102" s="1">
        <v>33</v>
      </c>
      <c r="AF102" s="1">
        <f t="shared" ref="AF102:AF125" si="68">ROUND(SUM(AA102:AE102),0)</f>
        <v>98</v>
      </c>
      <c r="AG102" s="1">
        <f t="shared" ref="AG102:AG125" si="69">ROUND(AF102/2,0)</f>
        <v>49</v>
      </c>
      <c r="AH102" s="10"/>
      <c r="AI102" s="1">
        <v>9</v>
      </c>
      <c r="AJ102" s="1">
        <v>34</v>
      </c>
      <c r="AK102" s="1">
        <v>8</v>
      </c>
      <c r="AL102" s="1">
        <v>18</v>
      </c>
      <c r="AM102" s="1">
        <v>43</v>
      </c>
      <c r="AN102" s="1">
        <f t="shared" ref="AN102:AN125" si="70">ROUND(SUM(AI102:AM102),0)</f>
        <v>112</v>
      </c>
      <c r="AO102" s="1">
        <f t="shared" ref="AO102:AO125" si="71">ROUND(AN102/2,0)</f>
        <v>56</v>
      </c>
      <c r="AP102" s="10"/>
      <c r="AQ102" s="1">
        <v>12</v>
      </c>
      <c r="AR102" s="1">
        <v>17</v>
      </c>
      <c r="AS102" s="1">
        <v>5</v>
      </c>
      <c r="AT102" s="1">
        <v>10</v>
      </c>
      <c r="AU102" s="1">
        <v>3</v>
      </c>
      <c r="AV102" s="1">
        <v>8.5</v>
      </c>
      <c r="AW102" s="1">
        <v>3.5</v>
      </c>
      <c r="AX102" s="1">
        <v>17</v>
      </c>
      <c r="AY102" s="1">
        <f t="shared" si="60"/>
        <v>15</v>
      </c>
      <c r="AZ102" s="1">
        <f t="shared" si="41"/>
        <v>26</v>
      </c>
      <c r="BA102" s="1">
        <f t="shared" si="61"/>
        <v>9</v>
      </c>
      <c r="BB102" s="1">
        <v>8</v>
      </c>
      <c r="BC102" s="1">
        <f t="shared" si="56"/>
        <v>27</v>
      </c>
      <c r="BD102" s="1">
        <f t="shared" si="57"/>
        <v>85</v>
      </c>
      <c r="BE102" s="1">
        <f t="shared" si="58"/>
        <v>43</v>
      </c>
      <c r="BF102" s="1"/>
      <c r="BG102" s="1"/>
      <c r="BH102" s="1"/>
      <c r="BI102" s="10"/>
      <c r="BJ102" s="10"/>
      <c r="BK102" s="10"/>
      <c r="BL102" s="10"/>
      <c r="BM102" s="10"/>
      <c r="BN102" s="10"/>
      <c r="BO102" s="10" t="s">
        <v>371</v>
      </c>
      <c r="BP102" s="10" t="s">
        <v>371</v>
      </c>
      <c r="BQ102" s="50"/>
      <c r="BR102" s="50">
        <f t="shared" si="54"/>
        <v>337</v>
      </c>
      <c r="BS102" s="51">
        <f t="shared" si="55"/>
        <v>56.166666666666664</v>
      </c>
      <c r="BT102" s="52" t="str">
        <f t="shared" si="53"/>
        <v>GRADE II</v>
      </c>
      <c r="BU102" s="10"/>
    </row>
    <row r="103" spans="1:73" ht="18" customHeight="1" x14ac:dyDescent="0.25">
      <c r="A103" s="2">
        <v>98</v>
      </c>
      <c r="B103" s="5" t="s">
        <v>225</v>
      </c>
      <c r="C103" s="1">
        <v>14</v>
      </c>
      <c r="D103" s="1">
        <v>25</v>
      </c>
      <c r="E103" s="1">
        <v>16</v>
      </c>
      <c r="F103" s="1">
        <v>16</v>
      </c>
      <c r="G103" s="1">
        <v>56</v>
      </c>
      <c r="H103" s="1">
        <f t="shared" si="62"/>
        <v>127</v>
      </c>
      <c r="I103" s="1">
        <f t="shared" si="63"/>
        <v>64</v>
      </c>
      <c r="J103" s="10"/>
      <c r="K103" s="1">
        <v>18</v>
      </c>
      <c r="L103" s="1">
        <v>31</v>
      </c>
      <c r="M103" s="1">
        <v>13</v>
      </c>
      <c r="N103" s="1">
        <v>13</v>
      </c>
      <c r="O103" s="1">
        <v>46</v>
      </c>
      <c r="P103" s="1">
        <f t="shared" si="64"/>
        <v>121</v>
      </c>
      <c r="Q103" s="1">
        <f t="shared" si="65"/>
        <v>61</v>
      </c>
      <c r="R103" s="1"/>
      <c r="S103" s="59">
        <v>23</v>
      </c>
      <c r="T103" s="59">
        <v>46</v>
      </c>
      <c r="U103" s="59">
        <v>18</v>
      </c>
      <c r="V103" s="59">
        <v>15</v>
      </c>
      <c r="W103" s="59">
        <v>61</v>
      </c>
      <c r="X103" s="59">
        <f t="shared" si="66"/>
        <v>163</v>
      </c>
      <c r="Y103" s="59">
        <f t="shared" si="67"/>
        <v>82</v>
      </c>
      <c r="Z103" s="58"/>
      <c r="AA103" s="1">
        <v>23</v>
      </c>
      <c r="AB103" s="1">
        <v>29</v>
      </c>
      <c r="AC103" s="1">
        <v>18</v>
      </c>
      <c r="AD103" s="1">
        <v>16</v>
      </c>
      <c r="AE103" s="1">
        <v>38</v>
      </c>
      <c r="AF103" s="1">
        <f t="shared" si="68"/>
        <v>124</v>
      </c>
      <c r="AG103" s="1">
        <f t="shared" si="69"/>
        <v>62</v>
      </c>
      <c r="AH103" s="10"/>
      <c r="AI103" s="1">
        <v>18</v>
      </c>
      <c r="AJ103" s="1">
        <v>45</v>
      </c>
      <c r="AK103" s="1">
        <v>13</v>
      </c>
      <c r="AL103" s="1">
        <v>20</v>
      </c>
      <c r="AM103" s="1">
        <v>56</v>
      </c>
      <c r="AN103" s="1">
        <f t="shared" si="70"/>
        <v>152</v>
      </c>
      <c r="AO103" s="1">
        <f t="shared" si="71"/>
        <v>76</v>
      </c>
      <c r="AP103" s="10"/>
      <c r="AQ103" s="1">
        <v>11</v>
      </c>
      <c r="AR103" s="1">
        <v>19</v>
      </c>
      <c r="AS103" s="1">
        <v>8</v>
      </c>
      <c r="AT103" s="1">
        <v>25</v>
      </c>
      <c r="AU103" s="1">
        <v>7</v>
      </c>
      <c r="AV103" s="1">
        <v>19.5</v>
      </c>
      <c r="AW103" s="1">
        <v>4</v>
      </c>
      <c r="AX103" s="1">
        <v>26</v>
      </c>
      <c r="AY103" s="1">
        <f t="shared" si="60"/>
        <v>18</v>
      </c>
      <c r="AZ103" s="1">
        <f t="shared" si="41"/>
        <v>39</v>
      </c>
      <c r="BA103" s="1">
        <f t="shared" si="61"/>
        <v>12</v>
      </c>
      <c r="BB103" s="1">
        <v>18</v>
      </c>
      <c r="BC103" s="1">
        <f t="shared" si="56"/>
        <v>51</v>
      </c>
      <c r="BD103" s="1">
        <f t="shared" si="57"/>
        <v>138</v>
      </c>
      <c r="BE103" s="1">
        <f t="shared" si="58"/>
        <v>69</v>
      </c>
      <c r="BF103" s="1"/>
      <c r="BG103" s="1"/>
      <c r="BH103" s="1"/>
      <c r="BI103" s="10"/>
      <c r="BJ103" s="10"/>
      <c r="BK103" s="10"/>
      <c r="BL103" s="10"/>
      <c r="BM103" s="10"/>
      <c r="BN103" s="10"/>
      <c r="BO103" s="10" t="s">
        <v>371</v>
      </c>
      <c r="BP103" s="10" t="s">
        <v>371</v>
      </c>
      <c r="BQ103" s="50"/>
      <c r="BR103" s="50">
        <f t="shared" si="54"/>
        <v>414</v>
      </c>
      <c r="BS103" s="51">
        <f t="shared" si="55"/>
        <v>69</v>
      </c>
      <c r="BT103" s="52" t="str">
        <f t="shared" si="53"/>
        <v>GRADE I</v>
      </c>
      <c r="BU103" s="10"/>
    </row>
    <row r="104" spans="1:73" ht="18" customHeight="1" x14ac:dyDescent="0.25">
      <c r="A104" s="2">
        <v>99</v>
      </c>
      <c r="B104" s="5" t="s">
        <v>226</v>
      </c>
      <c r="C104" s="1">
        <v>10</v>
      </c>
      <c r="D104" s="1">
        <v>26</v>
      </c>
      <c r="E104" s="1">
        <v>15</v>
      </c>
      <c r="F104" s="1">
        <v>12</v>
      </c>
      <c r="G104" s="1">
        <v>53</v>
      </c>
      <c r="H104" s="1">
        <f t="shared" si="62"/>
        <v>116</v>
      </c>
      <c r="I104" s="1">
        <f t="shared" si="63"/>
        <v>58</v>
      </c>
      <c r="J104" s="10"/>
      <c r="K104" s="1">
        <v>20</v>
      </c>
      <c r="L104" s="1">
        <v>32</v>
      </c>
      <c r="M104" s="1">
        <v>16</v>
      </c>
      <c r="N104" s="1">
        <v>17</v>
      </c>
      <c r="O104" s="1">
        <v>54</v>
      </c>
      <c r="P104" s="1">
        <f t="shared" si="64"/>
        <v>139</v>
      </c>
      <c r="Q104" s="1">
        <f t="shared" si="65"/>
        <v>70</v>
      </c>
      <c r="R104" s="1"/>
      <c r="S104" s="59">
        <v>24</v>
      </c>
      <c r="T104" s="59">
        <v>45</v>
      </c>
      <c r="U104" s="59">
        <v>18</v>
      </c>
      <c r="V104" s="59">
        <v>17</v>
      </c>
      <c r="W104" s="59">
        <v>69</v>
      </c>
      <c r="X104" s="59">
        <f t="shared" si="66"/>
        <v>173</v>
      </c>
      <c r="Y104" s="59">
        <f t="shared" si="67"/>
        <v>87</v>
      </c>
      <c r="Z104" s="58"/>
      <c r="AA104" s="1">
        <v>21</v>
      </c>
      <c r="AB104" s="1">
        <v>30</v>
      </c>
      <c r="AC104" s="1">
        <v>14</v>
      </c>
      <c r="AD104" s="1">
        <v>11</v>
      </c>
      <c r="AE104" s="1">
        <v>41</v>
      </c>
      <c r="AF104" s="1">
        <f t="shared" si="68"/>
        <v>117</v>
      </c>
      <c r="AG104" s="1">
        <f t="shared" si="69"/>
        <v>59</v>
      </c>
      <c r="AH104" s="10"/>
      <c r="AI104" s="1">
        <v>24</v>
      </c>
      <c r="AJ104" s="1">
        <v>36</v>
      </c>
      <c r="AK104" s="1">
        <v>16</v>
      </c>
      <c r="AL104" s="1">
        <v>17</v>
      </c>
      <c r="AM104" s="1">
        <v>55</v>
      </c>
      <c r="AN104" s="1">
        <f t="shared" si="70"/>
        <v>148</v>
      </c>
      <c r="AO104" s="1">
        <f t="shared" si="71"/>
        <v>74</v>
      </c>
      <c r="AP104" s="10"/>
      <c r="AQ104" s="1">
        <v>10.5</v>
      </c>
      <c r="AR104" s="1">
        <v>9.5</v>
      </c>
      <c r="AS104" s="1">
        <v>4</v>
      </c>
      <c r="AT104" s="1">
        <v>25</v>
      </c>
      <c r="AU104" s="1">
        <v>8.5</v>
      </c>
      <c r="AV104" s="1">
        <v>13</v>
      </c>
      <c r="AW104" s="1">
        <v>5</v>
      </c>
      <c r="AX104" s="1">
        <v>27</v>
      </c>
      <c r="AY104" s="1">
        <f t="shared" si="60"/>
        <v>19</v>
      </c>
      <c r="AZ104" s="1">
        <f t="shared" si="41"/>
        <v>23</v>
      </c>
      <c r="BA104" s="1">
        <f t="shared" si="61"/>
        <v>9</v>
      </c>
      <c r="BB104" s="1">
        <v>15</v>
      </c>
      <c r="BC104" s="1">
        <f t="shared" si="56"/>
        <v>52</v>
      </c>
      <c r="BD104" s="1">
        <f t="shared" si="57"/>
        <v>118</v>
      </c>
      <c r="BE104" s="1">
        <f t="shared" si="58"/>
        <v>59</v>
      </c>
      <c r="BF104" s="1"/>
      <c r="BG104" s="1"/>
      <c r="BH104" s="1"/>
      <c r="BI104" s="10"/>
      <c r="BJ104" s="10"/>
      <c r="BK104" s="10"/>
      <c r="BL104" s="10"/>
      <c r="BM104" s="10"/>
      <c r="BN104" s="10"/>
      <c r="BO104" s="10" t="s">
        <v>371</v>
      </c>
      <c r="BP104" s="10" t="s">
        <v>371</v>
      </c>
      <c r="BQ104" s="50"/>
      <c r="BR104" s="50">
        <f t="shared" si="54"/>
        <v>407</v>
      </c>
      <c r="BS104" s="51">
        <f t="shared" si="55"/>
        <v>67.833333333333329</v>
      </c>
      <c r="BT104" s="52" t="str">
        <f t="shared" si="53"/>
        <v>GRADE I</v>
      </c>
      <c r="BU104" s="10"/>
    </row>
    <row r="105" spans="1:73" s="111" customFormat="1" ht="18" customHeight="1" x14ac:dyDescent="0.25">
      <c r="A105" s="103">
        <v>100</v>
      </c>
      <c r="B105" s="104" t="s">
        <v>227</v>
      </c>
      <c r="C105" s="97">
        <v>4</v>
      </c>
      <c r="D105" s="97">
        <v>15</v>
      </c>
      <c r="E105" s="97">
        <v>9</v>
      </c>
      <c r="F105" s="97">
        <v>11</v>
      </c>
      <c r="G105" s="97">
        <v>30</v>
      </c>
      <c r="H105" s="97">
        <f t="shared" si="62"/>
        <v>69</v>
      </c>
      <c r="I105" s="97">
        <f t="shared" si="63"/>
        <v>35</v>
      </c>
      <c r="J105" s="105"/>
      <c r="K105" s="97">
        <v>5</v>
      </c>
      <c r="L105" s="97">
        <v>14</v>
      </c>
      <c r="M105" s="97">
        <v>8</v>
      </c>
      <c r="N105" s="97">
        <v>14</v>
      </c>
      <c r="O105" s="97">
        <v>19</v>
      </c>
      <c r="P105" s="97">
        <f t="shared" si="64"/>
        <v>60</v>
      </c>
      <c r="Q105" s="97">
        <f t="shared" si="65"/>
        <v>30</v>
      </c>
      <c r="R105" s="97">
        <v>5</v>
      </c>
      <c r="S105" s="106">
        <v>16</v>
      </c>
      <c r="T105" s="106">
        <v>26</v>
      </c>
      <c r="U105" s="106">
        <v>9</v>
      </c>
      <c r="V105" s="106">
        <v>18</v>
      </c>
      <c r="W105" s="106">
        <v>47</v>
      </c>
      <c r="X105" s="106">
        <f t="shared" si="66"/>
        <v>116</v>
      </c>
      <c r="Y105" s="106">
        <f t="shared" si="67"/>
        <v>58</v>
      </c>
      <c r="Z105" s="107"/>
      <c r="AA105" s="97">
        <v>9</v>
      </c>
      <c r="AB105" s="97">
        <v>14</v>
      </c>
      <c r="AC105" s="97">
        <v>6</v>
      </c>
      <c r="AD105" s="97">
        <v>15</v>
      </c>
      <c r="AE105" s="97">
        <v>27</v>
      </c>
      <c r="AF105" s="97">
        <f t="shared" si="68"/>
        <v>71</v>
      </c>
      <c r="AG105" s="97">
        <f t="shared" si="69"/>
        <v>36</v>
      </c>
      <c r="AH105" s="105"/>
      <c r="AI105" s="97">
        <v>8</v>
      </c>
      <c r="AJ105" s="97">
        <v>17</v>
      </c>
      <c r="AK105" s="97">
        <v>10</v>
      </c>
      <c r="AL105" s="97">
        <v>15</v>
      </c>
      <c r="AM105" s="97">
        <v>47</v>
      </c>
      <c r="AN105" s="97">
        <f t="shared" si="70"/>
        <v>97</v>
      </c>
      <c r="AO105" s="97">
        <f t="shared" si="71"/>
        <v>49</v>
      </c>
      <c r="AP105" s="105"/>
      <c r="AQ105" s="97"/>
      <c r="AR105" s="97"/>
      <c r="AS105" s="97" t="s">
        <v>263</v>
      </c>
      <c r="AT105" s="97"/>
      <c r="AU105" s="97"/>
      <c r="AV105" s="97"/>
      <c r="AW105" s="97" t="s">
        <v>263</v>
      </c>
      <c r="AX105" s="97"/>
      <c r="AY105" s="97"/>
      <c r="AZ105" s="97"/>
      <c r="BA105" s="97"/>
      <c r="BB105" s="97"/>
      <c r="BC105" s="97">
        <f t="shared" si="56"/>
        <v>0</v>
      </c>
      <c r="BD105" s="97">
        <f t="shared" si="57"/>
        <v>0</v>
      </c>
      <c r="BE105" s="97">
        <f t="shared" si="58"/>
        <v>0</v>
      </c>
      <c r="BF105" s="97"/>
      <c r="BG105" s="97">
        <v>7</v>
      </c>
      <c r="BH105" s="97">
        <v>6</v>
      </c>
      <c r="BI105" s="105">
        <v>11</v>
      </c>
      <c r="BJ105" s="105">
        <v>17</v>
      </c>
      <c r="BK105" s="105">
        <v>43</v>
      </c>
      <c r="BL105" s="105">
        <f>SUM(BG105:BK105)</f>
        <v>84</v>
      </c>
      <c r="BM105" s="105">
        <f>84/2</f>
        <v>42</v>
      </c>
      <c r="BN105" s="105"/>
      <c r="BO105" s="105" t="s">
        <v>371</v>
      </c>
      <c r="BP105" s="105" t="s">
        <v>372</v>
      </c>
      <c r="BQ105" s="108"/>
      <c r="BR105" s="108">
        <f t="shared" si="54"/>
        <v>208</v>
      </c>
      <c r="BS105" s="109">
        <f t="shared" si="55"/>
        <v>34.666666666666664</v>
      </c>
      <c r="BT105" s="110" t="str">
        <f t="shared" si="53"/>
        <v>FAIL</v>
      </c>
      <c r="BU105" s="105"/>
    </row>
    <row r="106" spans="1:73" ht="18" customHeight="1" x14ac:dyDescent="0.25">
      <c r="A106" s="2">
        <v>101</v>
      </c>
      <c r="B106" s="5" t="s">
        <v>228</v>
      </c>
      <c r="C106" s="1">
        <v>9</v>
      </c>
      <c r="D106" s="1">
        <v>28</v>
      </c>
      <c r="E106" s="1">
        <v>16</v>
      </c>
      <c r="F106" s="1">
        <v>12</v>
      </c>
      <c r="G106" s="1">
        <v>48</v>
      </c>
      <c r="H106" s="1">
        <f t="shared" si="62"/>
        <v>113</v>
      </c>
      <c r="I106" s="1">
        <f t="shared" si="63"/>
        <v>57</v>
      </c>
      <c r="J106" s="10"/>
      <c r="K106" s="1">
        <v>14</v>
      </c>
      <c r="L106" s="1">
        <v>25</v>
      </c>
      <c r="M106" s="1">
        <v>13</v>
      </c>
      <c r="N106" s="1">
        <v>13</v>
      </c>
      <c r="O106" s="1">
        <v>43</v>
      </c>
      <c r="P106" s="1">
        <f t="shared" si="64"/>
        <v>108</v>
      </c>
      <c r="Q106" s="1">
        <f t="shared" si="65"/>
        <v>54</v>
      </c>
      <c r="R106" s="1"/>
      <c r="S106" s="59">
        <v>23</v>
      </c>
      <c r="T106" s="59">
        <v>37</v>
      </c>
      <c r="U106" s="59">
        <v>12</v>
      </c>
      <c r="V106" s="59">
        <v>18</v>
      </c>
      <c r="W106" s="59">
        <v>61</v>
      </c>
      <c r="X106" s="59">
        <f t="shared" si="66"/>
        <v>151</v>
      </c>
      <c r="Y106" s="59">
        <f t="shared" si="67"/>
        <v>76</v>
      </c>
      <c r="Z106" s="58"/>
      <c r="AA106" s="1">
        <v>24</v>
      </c>
      <c r="AB106" s="1">
        <v>30</v>
      </c>
      <c r="AC106" s="1">
        <v>23</v>
      </c>
      <c r="AD106" s="1">
        <v>16</v>
      </c>
      <c r="AE106" s="1">
        <v>53</v>
      </c>
      <c r="AF106" s="1">
        <f t="shared" si="68"/>
        <v>146</v>
      </c>
      <c r="AG106" s="1">
        <f t="shared" si="69"/>
        <v>73</v>
      </c>
      <c r="AH106" s="10"/>
      <c r="AI106" s="1">
        <v>22</v>
      </c>
      <c r="AJ106" s="1">
        <v>41</v>
      </c>
      <c r="AK106" s="1">
        <v>9</v>
      </c>
      <c r="AL106" s="1">
        <v>16</v>
      </c>
      <c r="AM106" s="1">
        <v>60</v>
      </c>
      <c r="AN106" s="1">
        <f t="shared" si="70"/>
        <v>148</v>
      </c>
      <c r="AO106" s="1">
        <f t="shared" si="71"/>
        <v>74</v>
      </c>
      <c r="AP106" s="10"/>
      <c r="AQ106" s="1">
        <v>5</v>
      </c>
      <c r="AR106" s="1">
        <v>14</v>
      </c>
      <c r="AS106" s="1">
        <v>6</v>
      </c>
      <c r="AT106" s="1">
        <v>28</v>
      </c>
      <c r="AU106" s="1">
        <v>7</v>
      </c>
      <c r="AV106" s="1">
        <v>16.5</v>
      </c>
      <c r="AW106" s="1">
        <v>4</v>
      </c>
      <c r="AX106" s="1">
        <v>21</v>
      </c>
      <c r="AY106" s="1">
        <f t="shared" ref="AY106:AY125" si="72">ROUND(AQ106+AU106,0)</f>
        <v>12</v>
      </c>
      <c r="AZ106" s="1">
        <f t="shared" ref="AZ106:AZ125" si="73">ROUND(AR106+AV106,0)</f>
        <v>31</v>
      </c>
      <c r="BA106" s="1">
        <f t="shared" ref="BA106:BA125" si="74">ROUND(AS106+AW106,0)</f>
        <v>10</v>
      </c>
      <c r="BB106" s="1">
        <v>13</v>
      </c>
      <c r="BC106" s="1">
        <f t="shared" si="56"/>
        <v>49</v>
      </c>
      <c r="BD106" s="1">
        <f t="shared" si="57"/>
        <v>115</v>
      </c>
      <c r="BE106" s="1">
        <f t="shared" si="58"/>
        <v>58</v>
      </c>
      <c r="BF106" s="1"/>
      <c r="BG106" s="1"/>
      <c r="BH106" s="1"/>
      <c r="BI106" s="10"/>
      <c r="BJ106" s="10"/>
      <c r="BK106" s="10"/>
      <c r="BL106" s="10"/>
      <c r="BM106" s="10"/>
      <c r="BN106" s="10"/>
      <c r="BO106" s="10" t="s">
        <v>372</v>
      </c>
      <c r="BP106" s="10" t="s">
        <v>371</v>
      </c>
      <c r="BQ106" s="50"/>
      <c r="BR106" s="50">
        <f t="shared" si="54"/>
        <v>392</v>
      </c>
      <c r="BS106" s="51">
        <f t="shared" si="55"/>
        <v>65.333333333333329</v>
      </c>
      <c r="BT106" s="52" t="str">
        <f t="shared" si="53"/>
        <v>GRADE I</v>
      </c>
      <c r="BU106" s="10"/>
    </row>
    <row r="107" spans="1:73" ht="18" customHeight="1" x14ac:dyDescent="0.25">
      <c r="A107" s="2">
        <v>102</v>
      </c>
      <c r="B107" s="5" t="s">
        <v>229</v>
      </c>
      <c r="C107" s="1">
        <v>13</v>
      </c>
      <c r="D107" s="1">
        <v>22</v>
      </c>
      <c r="E107" s="1">
        <v>17</v>
      </c>
      <c r="F107" s="1">
        <v>12</v>
      </c>
      <c r="G107" s="1">
        <v>44</v>
      </c>
      <c r="H107" s="1">
        <f t="shared" si="62"/>
        <v>108</v>
      </c>
      <c r="I107" s="1">
        <f t="shared" si="63"/>
        <v>54</v>
      </c>
      <c r="J107" s="10"/>
      <c r="K107" s="1">
        <v>10</v>
      </c>
      <c r="L107" s="1">
        <v>19</v>
      </c>
      <c r="M107" s="1">
        <v>14</v>
      </c>
      <c r="N107" s="1">
        <v>16</v>
      </c>
      <c r="O107" s="1">
        <v>50</v>
      </c>
      <c r="P107" s="1">
        <f t="shared" si="64"/>
        <v>109</v>
      </c>
      <c r="Q107" s="1">
        <f t="shared" si="65"/>
        <v>55</v>
      </c>
      <c r="R107" s="1"/>
      <c r="S107" s="59">
        <v>20</v>
      </c>
      <c r="T107" s="59">
        <v>32</v>
      </c>
      <c r="U107" s="59">
        <v>12</v>
      </c>
      <c r="V107" s="59">
        <v>17</v>
      </c>
      <c r="W107" s="59">
        <v>56</v>
      </c>
      <c r="X107" s="59">
        <f t="shared" si="66"/>
        <v>137</v>
      </c>
      <c r="Y107" s="59">
        <f t="shared" si="67"/>
        <v>69</v>
      </c>
      <c r="Z107" s="58"/>
      <c r="AA107" s="1">
        <v>10</v>
      </c>
      <c r="AB107" s="1">
        <v>13</v>
      </c>
      <c r="AC107" s="1">
        <v>11</v>
      </c>
      <c r="AD107" s="1">
        <v>17</v>
      </c>
      <c r="AE107" s="1">
        <v>32</v>
      </c>
      <c r="AF107" s="1">
        <f t="shared" si="68"/>
        <v>83</v>
      </c>
      <c r="AG107" s="1">
        <f t="shared" si="69"/>
        <v>42</v>
      </c>
      <c r="AH107" s="10"/>
      <c r="AI107" s="1">
        <v>8</v>
      </c>
      <c r="AJ107" s="1">
        <v>31</v>
      </c>
      <c r="AK107" s="1">
        <v>8</v>
      </c>
      <c r="AL107" s="1">
        <v>15</v>
      </c>
      <c r="AM107" s="1">
        <v>33</v>
      </c>
      <c r="AN107" s="1">
        <f t="shared" si="70"/>
        <v>95</v>
      </c>
      <c r="AO107" s="1">
        <f t="shared" si="71"/>
        <v>48</v>
      </c>
      <c r="AP107" s="10"/>
      <c r="AQ107" s="1">
        <v>9</v>
      </c>
      <c r="AR107" s="1">
        <v>4</v>
      </c>
      <c r="AS107" s="1">
        <v>3</v>
      </c>
      <c r="AT107" s="1">
        <v>9</v>
      </c>
      <c r="AU107" s="1">
        <v>5</v>
      </c>
      <c r="AV107" s="1">
        <v>4</v>
      </c>
      <c r="AW107" s="1">
        <v>3</v>
      </c>
      <c r="AX107" s="1">
        <v>6</v>
      </c>
      <c r="AY107" s="1">
        <f t="shared" si="72"/>
        <v>14</v>
      </c>
      <c r="AZ107" s="1">
        <f t="shared" si="73"/>
        <v>8</v>
      </c>
      <c r="BA107" s="1">
        <f t="shared" si="74"/>
        <v>6</v>
      </c>
      <c r="BB107" s="1">
        <v>10</v>
      </c>
      <c r="BC107" s="1">
        <f t="shared" si="56"/>
        <v>15</v>
      </c>
      <c r="BD107" s="1">
        <f t="shared" si="57"/>
        <v>53</v>
      </c>
      <c r="BE107" s="1">
        <f t="shared" si="58"/>
        <v>27</v>
      </c>
      <c r="BF107" s="1">
        <v>8</v>
      </c>
      <c r="BG107" s="1"/>
      <c r="BH107" s="1"/>
      <c r="BI107" s="10"/>
      <c r="BJ107" s="10"/>
      <c r="BK107" s="10"/>
      <c r="BL107" s="10"/>
      <c r="BM107" s="10"/>
      <c r="BN107" s="10"/>
      <c r="BO107" s="10" t="s">
        <v>371</v>
      </c>
      <c r="BP107" s="10" t="s">
        <v>371</v>
      </c>
      <c r="BQ107" s="50">
        <v>8</v>
      </c>
      <c r="BR107" s="50">
        <f t="shared" si="54"/>
        <v>295</v>
      </c>
      <c r="BS107" s="51">
        <f t="shared" si="55"/>
        <v>49.166666666666664</v>
      </c>
      <c r="BT107" s="52" t="s">
        <v>375</v>
      </c>
      <c r="BU107" s="10"/>
    </row>
    <row r="108" spans="1:73" ht="18" customHeight="1" x14ac:dyDescent="0.25">
      <c r="A108" s="2">
        <v>103</v>
      </c>
      <c r="B108" s="5" t="s">
        <v>230</v>
      </c>
      <c r="C108" s="1">
        <v>11</v>
      </c>
      <c r="D108" s="1">
        <v>19</v>
      </c>
      <c r="E108" s="1">
        <v>13</v>
      </c>
      <c r="F108" s="1">
        <v>14</v>
      </c>
      <c r="G108" s="1">
        <v>49</v>
      </c>
      <c r="H108" s="1">
        <f t="shared" si="62"/>
        <v>106</v>
      </c>
      <c r="I108" s="1">
        <f t="shared" si="63"/>
        <v>53</v>
      </c>
      <c r="J108" s="10"/>
      <c r="K108" s="1">
        <v>15</v>
      </c>
      <c r="L108" s="1">
        <v>32</v>
      </c>
      <c r="M108" s="1">
        <v>15</v>
      </c>
      <c r="N108" s="1">
        <v>15</v>
      </c>
      <c r="O108" s="1">
        <v>47</v>
      </c>
      <c r="P108" s="1">
        <f t="shared" si="64"/>
        <v>124</v>
      </c>
      <c r="Q108" s="1">
        <f t="shared" si="65"/>
        <v>62</v>
      </c>
      <c r="R108" s="1"/>
      <c r="S108" s="59">
        <v>21</v>
      </c>
      <c r="T108" s="59">
        <v>42</v>
      </c>
      <c r="U108" s="59">
        <v>16</v>
      </c>
      <c r="V108" s="59">
        <v>17</v>
      </c>
      <c r="W108" s="59">
        <v>68</v>
      </c>
      <c r="X108" s="59">
        <f t="shared" si="66"/>
        <v>164</v>
      </c>
      <c r="Y108" s="59">
        <f t="shared" si="67"/>
        <v>82</v>
      </c>
      <c r="Z108" s="58"/>
      <c r="AA108" s="1">
        <v>23</v>
      </c>
      <c r="AB108" s="1">
        <v>30</v>
      </c>
      <c r="AC108" s="1">
        <v>13</v>
      </c>
      <c r="AD108" s="1">
        <v>16</v>
      </c>
      <c r="AE108" s="1">
        <v>49</v>
      </c>
      <c r="AF108" s="1">
        <f t="shared" si="68"/>
        <v>131</v>
      </c>
      <c r="AG108" s="1">
        <f t="shared" si="69"/>
        <v>66</v>
      </c>
      <c r="AH108" s="10"/>
      <c r="AI108" s="1">
        <v>19</v>
      </c>
      <c r="AJ108" s="1">
        <v>38</v>
      </c>
      <c r="AK108" s="1">
        <v>11</v>
      </c>
      <c r="AL108" s="1">
        <v>19</v>
      </c>
      <c r="AM108" s="1">
        <v>51</v>
      </c>
      <c r="AN108" s="1">
        <f t="shared" si="70"/>
        <v>138</v>
      </c>
      <c r="AO108" s="1">
        <f t="shared" si="71"/>
        <v>69</v>
      </c>
      <c r="AP108" s="10"/>
      <c r="AQ108" s="1">
        <v>12</v>
      </c>
      <c r="AR108" s="1">
        <v>21</v>
      </c>
      <c r="AS108" s="1">
        <v>5</v>
      </c>
      <c r="AT108" s="1">
        <v>18</v>
      </c>
      <c r="AU108" s="1">
        <v>7.5</v>
      </c>
      <c r="AV108" s="1">
        <v>16.5</v>
      </c>
      <c r="AW108" s="1">
        <v>6</v>
      </c>
      <c r="AX108" s="1">
        <v>22</v>
      </c>
      <c r="AY108" s="1">
        <f t="shared" si="72"/>
        <v>20</v>
      </c>
      <c r="AZ108" s="1">
        <f t="shared" si="73"/>
        <v>38</v>
      </c>
      <c r="BA108" s="1">
        <f t="shared" si="74"/>
        <v>11</v>
      </c>
      <c r="BB108" s="1">
        <v>20</v>
      </c>
      <c r="BC108" s="1">
        <f t="shared" si="56"/>
        <v>40</v>
      </c>
      <c r="BD108" s="1">
        <f t="shared" si="57"/>
        <v>129</v>
      </c>
      <c r="BE108" s="1">
        <f t="shared" si="58"/>
        <v>65</v>
      </c>
      <c r="BF108" s="1"/>
      <c r="BG108" s="1"/>
      <c r="BH108" s="1"/>
      <c r="BI108" s="10"/>
      <c r="BJ108" s="10"/>
      <c r="BK108" s="10"/>
      <c r="BL108" s="10"/>
      <c r="BM108" s="10"/>
      <c r="BN108" s="10"/>
      <c r="BO108" s="10" t="s">
        <v>371</v>
      </c>
      <c r="BP108" s="10" t="s">
        <v>371</v>
      </c>
      <c r="BQ108" s="50"/>
      <c r="BR108" s="50">
        <f t="shared" si="54"/>
        <v>397</v>
      </c>
      <c r="BS108" s="51">
        <f t="shared" si="55"/>
        <v>66.166666666666671</v>
      </c>
      <c r="BT108" s="52" t="str">
        <f t="shared" si="53"/>
        <v>GRADE I</v>
      </c>
      <c r="BU108" s="10"/>
    </row>
    <row r="109" spans="1:73" ht="18" customHeight="1" x14ac:dyDescent="0.25">
      <c r="A109" s="2">
        <v>104</v>
      </c>
      <c r="B109" s="5" t="s">
        <v>231</v>
      </c>
      <c r="C109" s="1">
        <v>12</v>
      </c>
      <c r="D109" s="1">
        <v>29</v>
      </c>
      <c r="E109" s="1">
        <v>16</v>
      </c>
      <c r="F109" s="1">
        <v>17</v>
      </c>
      <c r="G109" s="1">
        <v>53</v>
      </c>
      <c r="H109" s="1">
        <f t="shared" si="62"/>
        <v>127</v>
      </c>
      <c r="I109" s="1">
        <f t="shared" si="63"/>
        <v>64</v>
      </c>
      <c r="J109" s="10"/>
      <c r="K109" s="1">
        <v>10</v>
      </c>
      <c r="L109" s="1">
        <v>34</v>
      </c>
      <c r="M109" s="1">
        <v>18</v>
      </c>
      <c r="N109" s="1">
        <v>16</v>
      </c>
      <c r="O109" s="1">
        <v>52</v>
      </c>
      <c r="P109" s="1">
        <f t="shared" si="64"/>
        <v>130</v>
      </c>
      <c r="Q109" s="1">
        <f t="shared" si="65"/>
        <v>65</v>
      </c>
      <c r="R109" s="1"/>
      <c r="S109" s="59">
        <v>23</v>
      </c>
      <c r="T109" s="59">
        <v>45</v>
      </c>
      <c r="U109" s="59">
        <v>21</v>
      </c>
      <c r="V109" s="59">
        <v>20</v>
      </c>
      <c r="W109" s="59">
        <v>72</v>
      </c>
      <c r="X109" s="59">
        <f t="shared" si="66"/>
        <v>181</v>
      </c>
      <c r="Y109" s="59">
        <f t="shared" si="67"/>
        <v>91</v>
      </c>
      <c r="Z109" s="58"/>
      <c r="AA109" s="1">
        <v>22</v>
      </c>
      <c r="AB109" s="1">
        <v>43</v>
      </c>
      <c r="AC109" s="1">
        <v>16</v>
      </c>
      <c r="AD109" s="1">
        <v>17</v>
      </c>
      <c r="AE109" s="1">
        <v>58</v>
      </c>
      <c r="AF109" s="1">
        <f t="shared" si="68"/>
        <v>156</v>
      </c>
      <c r="AG109" s="1">
        <f t="shared" si="69"/>
        <v>78</v>
      </c>
      <c r="AH109" s="10"/>
      <c r="AI109" s="1">
        <v>23</v>
      </c>
      <c r="AJ109" s="1">
        <v>47</v>
      </c>
      <c r="AK109" s="1">
        <v>18</v>
      </c>
      <c r="AL109" s="1">
        <v>19</v>
      </c>
      <c r="AM109" s="1">
        <v>76</v>
      </c>
      <c r="AN109" s="1">
        <f t="shared" si="70"/>
        <v>183</v>
      </c>
      <c r="AO109" s="1">
        <f t="shared" si="71"/>
        <v>92</v>
      </c>
      <c r="AP109" s="10"/>
      <c r="AQ109" s="1">
        <v>13</v>
      </c>
      <c r="AR109" s="1">
        <v>22</v>
      </c>
      <c r="AS109" s="1">
        <v>8.5</v>
      </c>
      <c r="AT109" s="1">
        <v>30</v>
      </c>
      <c r="AU109" s="1">
        <v>12</v>
      </c>
      <c r="AV109" s="1">
        <v>24</v>
      </c>
      <c r="AW109" s="1">
        <v>8.5</v>
      </c>
      <c r="AX109" s="1">
        <v>21</v>
      </c>
      <c r="AY109" s="1">
        <f t="shared" si="72"/>
        <v>25</v>
      </c>
      <c r="AZ109" s="1">
        <f t="shared" si="73"/>
        <v>46</v>
      </c>
      <c r="BA109" s="1">
        <f t="shared" si="74"/>
        <v>17</v>
      </c>
      <c r="BB109" s="1">
        <v>19</v>
      </c>
      <c r="BC109" s="1">
        <f t="shared" ref="BC109:BC125" si="75">ROUND(AT109+AX109,0)</f>
        <v>51</v>
      </c>
      <c r="BD109" s="1">
        <f t="shared" ref="BD109:BD125" si="76">SUM(AY109:BC109)</f>
        <v>158</v>
      </c>
      <c r="BE109" s="1">
        <f t="shared" ref="BE109:BE125" si="77">ROUND(BD109/2,0)</f>
        <v>79</v>
      </c>
      <c r="BF109" s="1"/>
      <c r="BG109" s="1"/>
      <c r="BH109" s="1"/>
      <c r="BI109" s="10"/>
      <c r="BJ109" s="10"/>
      <c r="BK109" s="10"/>
      <c r="BL109" s="10"/>
      <c r="BM109" s="10"/>
      <c r="BN109" s="10"/>
      <c r="BO109" s="10" t="s">
        <v>371</v>
      </c>
      <c r="BP109" s="10" t="s">
        <v>371</v>
      </c>
      <c r="BQ109" s="50"/>
      <c r="BR109" s="50">
        <f t="shared" si="54"/>
        <v>469</v>
      </c>
      <c r="BS109" s="51">
        <f t="shared" si="55"/>
        <v>78.166666666666671</v>
      </c>
      <c r="BT109" s="52" t="str">
        <f t="shared" si="53"/>
        <v>GRADE I with Distinction</v>
      </c>
      <c r="BU109" s="10"/>
    </row>
    <row r="110" spans="1:73" ht="15.75" customHeight="1" x14ac:dyDescent="0.25">
      <c r="A110" s="2">
        <v>105</v>
      </c>
      <c r="B110" s="5" t="s">
        <v>232</v>
      </c>
      <c r="C110" s="1">
        <v>3</v>
      </c>
      <c r="D110" s="1">
        <v>13</v>
      </c>
      <c r="E110" s="1">
        <v>11</v>
      </c>
      <c r="F110" s="1">
        <v>12</v>
      </c>
      <c r="G110" s="1">
        <v>24</v>
      </c>
      <c r="H110" s="1">
        <f t="shared" si="62"/>
        <v>63</v>
      </c>
      <c r="I110" s="1">
        <f t="shared" si="63"/>
        <v>32</v>
      </c>
      <c r="J110" s="10"/>
      <c r="K110" s="1">
        <v>10</v>
      </c>
      <c r="L110" s="1">
        <v>16</v>
      </c>
      <c r="M110" s="1">
        <v>10</v>
      </c>
      <c r="N110" s="1">
        <v>12</v>
      </c>
      <c r="O110" s="1">
        <v>28</v>
      </c>
      <c r="P110" s="1">
        <f t="shared" si="64"/>
        <v>76</v>
      </c>
      <c r="Q110" s="1">
        <f t="shared" si="65"/>
        <v>38</v>
      </c>
      <c r="R110" s="1"/>
      <c r="S110" s="59">
        <v>6</v>
      </c>
      <c r="T110" s="59">
        <v>17</v>
      </c>
      <c r="U110" s="59">
        <v>9</v>
      </c>
      <c r="V110" s="59">
        <v>12</v>
      </c>
      <c r="W110" s="59">
        <v>17</v>
      </c>
      <c r="X110" s="59">
        <f t="shared" si="66"/>
        <v>61</v>
      </c>
      <c r="Y110" s="59">
        <f t="shared" si="67"/>
        <v>31</v>
      </c>
      <c r="Z110" s="58"/>
      <c r="AA110" s="1">
        <v>6</v>
      </c>
      <c r="AB110" s="1">
        <v>9</v>
      </c>
      <c r="AC110" s="1">
        <v>6</v>
      </c>
      <c r="AD110" s="1">
        <v>6</v>
      </c>
      <c r="AE110" s="1">
        <v>10</v>
      </c>
      <c r="AF110" s="1">
        <f t="shared" si="68"/>
        <v>37</v>
      </c>
      <c r="AG110" s="1">
        <f t="shared" si="69"/>
        <v>19</v>
      </c>
      <c r="AH110" s="10"/>
      <c r="AI110" s="1">
        <v>10</v>
      </c>
      <c r="AJ110" s="1">
        <v>5</v>
      </c>
      <c r="AK110" s="1">
        <v>4</v>
      </c>
      <c r="AL110" s="1">
        <v>11</v>
      </c>
      <c r="AM110" s="1">
        <v>20</v>
      </c>
      <c r="AN110" s="1">
        <f t="shared" si="70"/>
        <v>50</v>
      </c>
      <c r="AO110" s="1">
        <f t="shared" si="71"/>
        <v>25</v>
      </c>
      <c r="AP110" s="10"/>
      <c r="AQ110" s="1">
        <v>7</v>
      </c>
      <c r="AR110" s="1">
        <v>2</v>
      </c>
      <c r="AS110" s="1">
        <v>4</v>
      </c>
      <c r="AT110" s="1">
        <v>11</v>
      </c>
      <c r="AU110" s="1">
        <v>2</v>
      </c>
      <c r="AV110" s="1">
        <v>5</v>
      </c>
      <c r="AW110" s="1">
        <v>1</v>
      </c>
      <c r="AX110" s="1">
        <v>9</v>
      </c>
      <c r="AY110" s="1">
        <f t="shared" si="72"/>
        <v>9</v>
      </c>
      <c r="AZ110" s="1">
        <f t="shared" si="73"/>
        <v>7</v>
      </c>
      <c r="BA110" s="1">
        <f t="shared" si="74"/>
        <v>5</v>
      </c>
      <c r="BB110" s="1">
        <v>9</v>
      </c>
      <c r="BC110" s="1">
        <f t="shared" si="75"/>
        <v>20</v>
      </c>
      <c r="BD110" s="1">
        <f t="shared" si="76"/>
        <v>50</v>
      </c>
      <c r="BE110" s="1">
        <f t="shared" si="77"/>
        <v>25</v>
      </c>
      <c r="BF110" s="1"/>
      <c r="BG110" s="1"/>
      <c r="BH110" s="1"/>
      <c r="BI110" s="10"/>
      <c r="BJ110" s="10"/>
      <c r="BK110" s="10"/>
      <c r="BL110" s="10"/>
      <c r="BM110" s="10"/>
      <c r="BN110" s="10"/>
      <c r="BO110" s="10" t="s">
        <v>371</v>
      </c>
      <c r="BP110" s="10" t="s">
        <v>372</v>
      </c>
      <c r="BQ110" s="50"/>
      <c r="BR110" s="50">
        <f t="shared" si="54"/>
        <v>170</v>
      </c>
      <c r="BS110" s="51">
        <f t="shared" si="55"/>
        <v>28.333333333333332</v>
      </c>
      <c r="BT110" s="52" t="str">
        <f t="shared" si="53"/>
        <v>FAIL</v>
      </c>
      <c r="BU110" s="10"/>
    </row>
    <row r="111" spans="1:73" ht="18" customHeight="1" x14ac:dyDescent="0.25">
      <c r="A111" s="2">
        <v>106</v>
      </c>
      <c r="B111" s="24" t="s">
        <v>233</v>
      </c>
      <c r="C111" s="1">
        <v>10</v>
      </c>
      <c r="D111" s="1">
        <v>24</v>
      </c>
      <c r="E111" s="1">
        <v>16</v>
      </c>
      <c r="F111" s="1">
        <v>11</v>
      </c>
      <c r="G111" s="1">
        <v>39</v>
      </c>
      <c r="H111" s="1">
        <f t="shared" si="62"/>
        <v>100</v>
      </c>
      <c r="I111" s="1">
        <f t="shared" si="63"/>
        <v>50</v>
      </c>
      <c r="J111" s="10"/>
      <c r="K111" s="1">
        <v>17</v>
      </c>
      <c r="L111" s="1">
        <v>25</v>
      </c>
      <c r="M111" s="1">
        <v>14</v>
      </c>
      <c r="N111" s="1">
        <v>11</v>
      </c>
      <c r="O111" s="1">
        <v>40</v>
      </c>
      <c r="P111" s="1">
        <f t="shared" si="64"/>
        <v>107</v>
      </c>
      <c r="Q111" s="1">
        <f t="shared" si="65"/>
        <v>54</v>
      </c>
      <c r="R111" s="1"/>
      <c r="S111" s="59">
        <v>21</v>
      </c>
      <c r="T111" s="59">
        <v>33</v>
      </c>
      <c r="U111" s="59">
        <v>9</v>
      </c>
      <c r="V111" s="59">
        <v>16</v>
      </c>
      <c r="W111" s="59">
        <v>47</v>
      </c>
      <c r="X111" s="59">
        <f t="shared" si="66"/>
        <v>126</v>
      </c>
      <c r="Y111" s="59">
        <f t="shared" si="67"/>
        <v>63</v>
      </c>
      <c r="Z111" s="58"/>
      <c r="AA111" s="1">
        <v>16</v>
      </c>
      <c r="AB111" s="1">
        <v>33</v>
      </c>
      <c r="AC111" s="1">
        <v>14</v>
      </c>
      <c r="AD111" s="1">
        <v>12</v>
      </c>
      <c r="AE111" s="1">
        <v>49</v>
      </c>
      <c r="AF111" s="1">
        <f t="shared" si="68"/>
        <v>124</v>
      </c>
      <c r="AG111" s="1">
        <f t="shared" si="69"/>
        <v>62</v>
      </c>
      <c r="AH111" s="10"/>
      <c r="AI111" s="1">
        <v>14</v>
      </c>
      <c r="AJ111" s="1">
        <v>34</v>
      </c>
      <c r="AK111" s="1">
        <v>10</v>
      </c>
      <c r="AL111" s="1">
        <v>14</v>
      </c>
      <c r="AM111" s="1">
        <v>49</v>
      </c>
      <c r="AN111" s="1">
        <f t="shared" si="70"/>
        <v>121</v>
      </c>
      <c r="AO111" s="1">
        <f t="shared" si="71"/>
        <v>61</v>
      </c>
      <c r="AP111" s="10"/>
      <c r="AQ111" s="1">
        <v>12</v>
      </c>
      <c r="AR111" s="1">
        <v>20</v>
      </c>
      <c r="AS111" s="1">
        <v>7</v>
      </c>
      <c r="AT111" s="1">
        <v>23</v>
      </c>
      <c r="AU111" s="1">
        <v>9</v>
      </c>
      <c r="AV111" s="1">
        <v>13</v>
      </c>
      <c r="AW111" s="1">
        <v>3.5</v>
      </c>
      <c r="AX111" s="1">
        <v>26</v>
      </c>
      <c r="AY111" s="1">
        <f t="shared" si="72"/>
        <v>21</v>
      </c>
      <c r="AZ111" s="1">
        <f t="shared" si="73"/>
        <v>33</v>
      </c>
      <c r="BA111" s="1">
        <f t="shared" si="74"/>
        <v>11</v>
      </c>
      <c r="BB111" s="1">
        <v>15</v>
      </c>
      <c r="BC111" s="1">
        <f t="shared" si="75"/>
        <v>49</v>
      </c>
      <c r="BD111" s="1">
        <f t="shared" si="76"/>
        <v>129</v>
      </c>
      <c r="BE111" s="1">
        <f t="shared" si="77"/>
        <v>65</v>
      </c>
      <c r="BF111" s="1"/>
      <c r="BG111" s="1"/>
      <c r="BH111" s="1"/>
      <c r="BI111" s="10"/>
      <c r="BJ111" s="10"/>
      <c r="BK111" s="10"/>
      <c r="BL111" s="10"/>
      <c r="BM111" s="10"/>
      <c r="BN111" s="10"/>
      <c r="BO111" s="10" t="s">
        <v>372</v>
      </c>
      <c r="BP111" s="10" t="s">
        <v>372</v>
      </c>
      <c r="BQ111" s="50"/>
      <c r="BR111" s="50">
        <f t="shared" si="54"/>
        <v>355</v>
      </c>
      <c r="BS111" s="51">
        <f t="shared" si="55"/>
        <v>59.166666666666664</v>
      </c>
      <c r="BT111" s="52" t="str">
        <f t="shared" si="53"/>
        <v>GRADE II</v>
      </c>
      <c r="BU111" s="10"/>
    </row>
    <row r="112" spans="1:73" ht="18" customHeight="1" x14ac:dyDescent="0.25">
      <c r="A112" s="2">
        <v>107</v>
      </c>
      <c r="B112" s="7" t="s">
        <v>234</v>
      </c>
      <c r="C112" s="1">
        <v>7</v>
      </c>
      <c r="D112" s="1">
        <v>15</v>
      </c>
      <c r="E112" s="1">
        <v>12</v>
      </c>
      <c r="F112" s="1">
        <v>11</v>
      </c>
      <c r="G112" s="1">
        <v>36</v>
      </c>
      <c r="H112" s="1">
        <f t="shared" si="62"/>
        <v>81</v>
      </c>
      <c r="I112" s="1">
        <f t="shared" si="63"/>
        <v>41</v>
      </c>
      <c r="J112" s="10"/>
      <c r="K112" s="1">
        <v>8</v>
      </c>
      <c r="L112" s="1">
        <v>15</v>
      </c>
      <c r="M112" s="1">
        <v>7</v>
      </c>
      <c r="N112" s="1">
        <v>14</v>
      </c>
      <c r="O112" s="1">
        <v>25</v>
      </c>
      <c r="P112" s="1">
        <f t="shared" si="64"/>
        <v>69</v>
      </c>
      <c r="Q112" s="1">
        <f t="shared" si="65"/>
        <v>35</v>
      </c>
      <c r="R112" s="1"/>
      <c r="S112" s="59">
        <v>17</v>
      </c>
      <c r="T112" s="59">
        <v>28</v>
      </c>
      <c r="U112" s="59">
        <v>12</v>
      </c>
      <c r="V112" s="59">
        <v>14</v>
      </c>
      <c r="W112" s="59">
        <v>51</v>
      </c>
      <c r="X112" s="59">
        <f t="shared" si="66"/>
        <v>122</v>
      </c>
      <c r="Y112" s="59">
        <f t="shared" si="67"/>
        <v>61</v>
      </c>
      <c r="Z112" s="58"/>
      <c r="AA112" s="1">
        <v>14</v>
      </c>
      <c r="AB112" s="1">
        <v>18</v>
      </c>
      <c r="AC112" s="1">
        <v>13</v>
      </c>
      <c r="AD112" s="1">
        <v>12</v>
      </c>
      <c r="AE112" s="1">
        <v>34</v>
      </c>
      <c r="AF112" s="1">
        <f t="shared" si="68"/>
        <v>91</v>
      </c>
      <c r="AG112" s="1">
        <f t="shared" si="69"/>
        <v>46</v>
      </c>
      <c r="AH112" s="10"/>
      <c r="AI112" s="1">
        <v>10</v>
      </c>
      <c r="AJ112" s="1">
        <v>32</v>
      </c>
      <c r="AK112" s="1">
        <v>11</v>
      </c>
      <c r="AL112" s="1">
        <v>19</v>
      </c>
      <c r="AM112" s="1">
        <v>50</v>
      </c>
      <c r="AN112" s="1">
        <f t="shared" si="70"/>
        <v>122</v>
      </c>
      <c r="AO112" s="1">
        <f t="shared" si="71"/>
        <v>61</v>
      </c>
      <c r="AP112" s="10"/>
      <c r="AQ112" s="1">
        <v>6.5</v>
      </c>
      <c r="AR112" s="1">
        <v>7</v>
      </c>
      <c r="AS112" s="1">
        <v>3</v>
      </c>
      <c r="AT112" s="1">
        <v>19</v>
      </c>
      <c r="AU112" s="1">
        <v>1.5</v>
      </c>
      <c r="AV112" s="1">
        <v>5.5</v>
      </c>
      <c r="AW112" s="1">
        <v>1</v>
      </c>
      <c r="AX112" s="1">
        <v>9</v>
      </c>
      <c r="AY112" s="1">
        <f t="shared" si="72"/>
        <v>8</v>
      </c>
      <c r="AZ112" s="1">
        <f t="shared" si="73"/>
        <v>13</v>
      </c>
      <c r="BA112" s="1">
        <f t="shared" si="74"/>
        <v>4</v>
      </c>
      <c r="BB112" s="1">
        <v>13</v>
      </c>
      <c r="BC112" s="1">
        <f t="shared" si="75"/>
        <v>28</v>
      </c>
      <c r="BD112" s="1">
        <f t="shared" si="76"/>
        <v>66</v>
      </c>
      <c r="BE112" s="1">
        <f t="shared" si="77"/>
        <v>33</v>
      </c>
      <c r="BF112" s="1">
        <v>2</v>
      </c>
      <c r="BG112" s="1"/>
      <c r="BH112" s="1"/>
      <c r="BI112" s="10"/>
      <c r="BJ112" s="10"/>
      <c r="BK112" s="10"/>
      <c r="BL112" s="10"/>
      <c r="BM112" s="10"/>
      <c r="BN112" s="10"/>
      <c r="BO112" s="10" t="s">
        <v>371</v>
      </c>
      <c r="BP112" s="10" t="s">
        <v>372</v>
      </c>
      <c r="BQ112" s="50">
        <v>2</v>
      </c>
      <c r="BR112" s="50">
        <f t="shared" si="54"/>
        <v>277</v>
      </c>
      <c r="BS112" s="51">
        <f t="shared" si="55"/>
        <v>46.166666666666664</v>
      </c>
      <c r="BT112" s="52" t="s">
        <v>375</v>
      </c>
      <c r="BU112" s="10"/>
    </row>
    <row r="113" spans="1:73" s="111" customFormat="1" ht="18" customHeight="1" x14ac:dyDescent="0.25">
      <c r="A113" s="103">
        <v>108</v>
      </c>
      <c r="B113" s="104" t="s">
        <v>235</v>
      </c>
      <c r="C113" s="97">
        <v>7</v>
      </c>
      <c r="D113" s="97">
        <v>8</v>
      </c>
      <c r="E113" s="97">
        <v>10</v>
      </c>
      <c r="F113" s="97">
        <v>11</v>
      </c>
      <c r="G113" s="97">
        <v>36</v>
      </c>
      <c r="H113" s="97">
        <f t="shared" si="62"/>
        <v>72</v>
      </c>
      <c r="I113" s="97">
        <f t="shared" si="63"/>
        <v>36</v>
      </c>
      <c r="J113" s="105"/>
      <c r="K113" s="97">
        <v>11</v>
      </c>
      <c r="L113" s="97">
        <v>15</v>
      </c>
      <c r="M113" s="97">
        <v>9</v>
      </c>
      <c r="N113" s="97">
        <v>12</v>
      </c>
      <c r="O113" s="97">
        <v>27</v>
      </c>
      <c r="P113" s="97">
        <f t="shared" si="64"/>
        <v>74</v>
      </c>
      <c r="Q113" s="97">
        <f t="shared" si="65"/>
        <v>37</v>
      </c>
      <c r="R113" s="97"/>
      <c r="S113" s="106">
        <v>11</v>
      </c>
      <c r="T113" s="106">
        <v>19</v>
      </c>
      <c r="U113" s="106">
        <v>10</v>
      </c>
      <c r="V113" s="106">
        <v>18</v>
      </c>
      <c r="W113" s="106">
        <v>33</v>
      </c>
      <c r="X113" s="106">
        <f t="shared" si="66"/>
        <v>91</v>
      </c>
      <c r="Y113" s="106">
        <f t="shared" si="67"/>
        <v>46</v>
      </c>
      <c r="Z113" s="107"/>
      <c r="AA113" s="97">
        <v>10</v>
      </c>
      <c r="AB113" s="97">
        <v>3</v>
      </c>
      <c r="AC113" s="97">
        <v>7</v>
      </c>
      <c r="AD113" s="97">
        <v>19</v>
      </c>
      <c r="AE113" s="97">
        <v>21</v>
      </c>
      <c r="AF113" s="97">
        <f t="shared" si="68"/>
        <v>60</v>
      </c>
      <c r="AG113" s="97">
        <f t="shared" si="69"/>
        <v>30</v>
      </c>
      <c r="AH113" s="105">
        <v>5</v>
      </c>
      <c r="AI113" s="97">
        <v>2</v>
      </c>
      <c r="AJ113" s="97">
        <v>14</v>
      </c>
      <c r="AK113" s="97">
        <v>4</v>
      </c>
      <c r="AL113" s="97">
        <v>16</v>
      </c>
      <c r="AM113" s="97">
        <v>34</v>
      </c>
      <c r="AN113" s="97">
        <f t="shared" si="70"/>
        <v>70</v>
      </c>
      <c r="AO113" s="97">
        <f t="shared" si="71"/>
        <v>35</v>
      </c>
      <c r="AP113" s="105"/>
      <c r="AQ113" s="97">
        <v>0</v>
      </c>
      <c r="AR113" s="97">
        <v>0</v>
      </c>
      <c r="AS113" s="97">
        <v>3</v>
      </c>
      <c r="AT113" s="97">
        <v>5</v>
      </c>
      <c r="AU113" s="97">
        <v>6</v>
      </c>
      <c r="AV113" s="97">
        <v>5</v>
      </c>
      <c r="AW113" s="97">
        <v>0</v>
      </c>
      <c r="AX113" s="97">
        <v>13</v>
      </c>
      <c r="AY113" s="97">
        <f t="shared" si="72"/>
        <v>6</v>
      </c>
      <c r="AZ113" s="97">
        <f t="shared" si="73"/>
        <v>5</v>
      </c>
      <c r="BA113" s="97">
        <f t="shared" si="74"/>
        <v>3</v>
      </c>
      <c r="BB113" s="97">
        <v>17</v>
      </c>
      <c r="BC113" s="97">
        <f t="shared" si="75"/>
        <v>18</v>
      </c>
      <c r="BD113" s="97">
        <f t="shared" si="76"/>
        <v>49</v>
      </c>
      <c r="BE113" s="97">
        <f t="shared" si="77"/>
        <v>25</v>
      </c>
      <c r="BF113" s="97">
        <v>10</v>
      </c>
      <c r="BG113" s="97"/>
      <c r="BH113" s="97"/>
      <c r="BI113" s="105"/>
      <c r="BJ113" s="105"/>
      <c r="BK113" s="105"/>
      <c r="BL113" s="105"/>
      <c r="BM113" s="105"/>
      <c r="BN113" s="105"/>
      <c r="BO113" s="105" t="s">
        <v>371</v>
      </c>
      <c r="BP113" s="105" t="s">
        <v>372</v>
      </c>
      <c r="BQ113" s="108">
        <v>15</v>
      </c>
      <c r="BR113" s="108">
        <f t="shared" si="54"/>
        <v>209</v>
      </c>
      <c r="BS113" s="109">
        <f t="shared" si="55"/>
        <v>34.833333333333336</v>
      </c>
      <c r="BT113" s="110" t="s">
        <v>375</v>
      </c>
      <c r="BU113" s="105"/>
    </row>
    <row r="114" spans="1:73" ht="18" customHeight="1" x14ac:dyDescent="0.25">
      <c r="A114" s="2">
        <v>109</v>
      </c>
      <c r="B114" s="5" t="s">
        <v>236</v>
      </c>
      <c r="C114" s="1">
        <v>3</v>
      </c>
      <c r="D114" s="1">
        <v>8</v>
      </c>
      <c r="E114" s="1">
        <v>12</v>
      </c>
      <c r="F114" s="1">
        <v>14</v>
      </c>
      <c r="G114" s="1">
        <v>29</v>
      </c>
      <c r="H114" s="1">
        <f t="shared" si="62"/>
        <v>66</v>
      </c>
      <c r="I114" s="1">
        <f t="shared" si="63"/>
        <v>33</v>
      </c>
      <c r="J114" s="10">
        <v>2</v>
      </c>
      <c r="K114" s="1">
        <v>9</v>
      </c>
      <c r="L114" s="1">
        <v>12</v>
      </c>
      <c r="M114" s="1">
        <v>12</v>
      </c>
      <c r="N114" s="1">
        <v>14</v>
      </c>
      <c r="O114" s="1">
        <v>23</v>
      </c>
      <c r="P114" s="1">
        <f t="shared" si="64"/>
        <v>70</v>
      </c>
      <c r="Q114" s="1">
        <f t="shared" si="65"/>
        <v>35</v>
      </c>
      <c r="R114" s="1"/>
      <c r="S114" s="59">
        <v>9</v>
      </c>
      <c r="T114" s="59">
        <v>24</v>
      </c>
      <c r="U114" s="59">
        <v>4</v>
      </c>
      <c r="V114" s="59">
        <v>19</v>
      </c>
      <c r="W114" s="59">
        <v>28</v>
      </c>
      <c r="X114" s="59">
        <f t="shared" si="66"/>
        <v>84</v>
      </c>
      <c r="Y114" s="59">
        <f t="shared" si="67"/>
        <v>42</v>
      </c>
      <c r="Z114" s="58"/>
      <c r="AA114" s="1">
        <v>12</v>
      </c>
      <c r="AB114" s="1">
        <v>13</v>
      </c>
      <c r="AC114" s="1">
        <v>6</v>
      </c>
      <c r="AD114" s="1">
        <v>12</v>
      </c>
      <c r="AE114" s="1">
        <v>20</v>
      </c>
      <c r="AF114" s="1">
        <f t="shared" si="68"/>
        <v>63</v>
      </c>
      <c r="AG114" s="1">
        <f t="shared" si="69"/>
        <v>32</v>
      </c>
      <c r="AH114" s="10">
        <v>3</v>
      </c>
      <c r="AI114" s="1">
        <v>9</v>
      </c>
      <c r="AJ114" s="1">
        <v>10</v>
      </c>
      <c r="AK114" s="1">
        <v>4</v>
      </c>
      <c r="AL114" s="1">
        <v>14</v>
      </c>
      <c r="AM114" s="1">
        <v>39</v>
      </c>
      <c r="AN114" s="1">
        <f t="shared" si="70"/>
        <v>76</v>
      </c>
      <c r="AO114" s="1">
        <f t="shared" si="71"/>
        <v>38</v>
      </c>
      <c r="AP114" s="10"/>
      <c r="AQ114" s="1">
        <v>3</v>
      </c>
      <c r="AR114" s="1">
        <v>2</v>
      </c>
      <c r="AS114" s="1">
        <v>2</v>
      </c>
      <c r="AT114" s="1">
        <v>9</v>
      </c>
      <c r="AU114" s="1">
        <v>4</v>
      </c>
      <c r="AV114" s="1">
        <v>5</v>
      </c>
      <c r="AW114" s="1">
        <v>1</v>
      </c>
      <c r="AX114" s="1">
        <v>10</v>
      </c>
      <c r="AY114" s="1">
        <f t="shared" si="72"/>
        <v>7</v>
      </c>
      <c r="AZ114" s="1">
        <f t="shared" si="73"/>
        <v>7</v>
      </c>
      <c r="BA114" s="1">
        <f t="shared" si="74"/>
        <v>3</v>
      </c>
      <c r="BB114" s="1">
        <v>13</v>
      </c>
      <c r="BC114" s="1">
        <f t="shared" si="75"/>
        <v>19</v>
      </c>
      <c r="BD114" s="1">
        <f t="shared" si="76"/>
        <v>49</v>
      </c>
      <c r="BE114" s="1">
        <f t="shared" si="77"/>
        <v>25</v>
      </c>
      <c r="BF114" s="1">
        <v>10</v>
      </c>
      <c r="BG114" s="1"/>
      <c r="BH114" s="1"/>
      <c r="BI114" s="10"/>
      <c r="BJ114" s="10"/>
      <c r="BK114" s="10"/>
      <c r="BL114" s="10"/>
      <c r="BM114" s="10"/>
      <c r="BN114" s="10"/>
      <c r="BO114" s="10" t="s">
        <v>371</v>
      </c>
      <c r="BP114" s="10" t="s">
        <v>372</v>
      </c>
      <c r="BQ114" s="50">
        <v>15</v>
      </c>
      <c r="BR114" s="50">
        <f t="shared" si="54"/>
        <v>205</v>
      </c>
      <c r="BS114" s="51">
        <f t="shared" si="55"/>
        <v>34.166666666666664</v>
      </c>
      <c r="BT114" s="52" t="s">
        <v>375</v>
      </c>
      <c r="BU114" s="10"/>
    </row>
    <row r="115" spans="1:73" ht="18" customHeight="1" x14ac:dyDescent="0.25">
      <c r="A115" s="2">
        <v>110</v>
      </c>
      <c r="B115" s="5" t="s">
        <v>237</v>
      </c>
      <c r="C115" s="1">
        <v>11</v>
      </c>
      <c r="D115" s="1">
        <v>33</v>
      </c>
      <c r="E115" s="1">
        <v>13</v>
      </c>
      <c r="F115" s="1">
        <v>17</v>
      </c>
      <c r="G115" s="1">
        <v>46</v>
      </c>
      <c r="H115" s="1">
        <f t="shared" si="62"/>
        <v>120</v>
      </c>
      <c r="I115" s="1">
        <f t="shared" si="63"/>
        <v>60</v>
      </c>
      <c r="J115" s="10"/>
      <c r="K115" s="1">
        <v>18</v>
      </c>
      <c r="L115" s="1">
        <v>32</v>
      </c>
      <c r="M115" s="1">
        <v>13</v>
      </c>
      <c r="N115" s="1">
        <v>16</v>
      </c>
      <c r="O115" s="1">
        <v>53</v>
      </c>
      <c r="P115" s="1">
        <f t="shared" si="64"/>
        <v>132</v>
      </c>
      <c r="Q115" s="1">
        <f t="shared" si="65"/>
        <v>66</v>
      </c>
      <c r="R115" s="1"/>
      <c r="S115" s="59">
        <v>13</v>
      </c>
      <c r="T115" s="59">
        <v>37</v>
      </c>
      <c r="U115" s="59">
        <v>18</v>
      </c>
      <c r="V115" s="59">
        <v>14</v>
      </c>
      <c r="W115" s="59">
        <v>47</v>
      </c>
      <c r="X115" s="59">
        <f t="shared" si="66"/>
        <v>129</v>
      </c>
      <c r="Y115" s="59">
        <f t="shared" si="67"/>
        <v>65</v>
      </c>
      <c r="Z115" s="58"/>
      <c r="AA115" s="1">
        <v>14</v>
      </c>
      <c r="AB115" s="1">
        <v>24</v>
      </c>
      <c r="AC115" s="1">
        <v>12</v>
      </c>
      <c r="AD115" s="1">
        <v>16</v>
      </c>
      <c r="AE115" s="1">
        <v>33</v>
      </c>
      <c r="AF115" s="1">
        <f t="shared" si="68"/>
        <v>99</v>
      </c>
      <c r="AG115" s="1">
        <f t="shared" si="69"/>
        <v>50</v>
      </c>
      <c r="AH115" s="10"/>
      <c r="AI115" s="1">
        <v>19</v>
      </c>
      <c r="AJ115" s="1">
        <v>45</v>
      </c>
      <c r="AK115" s="1">
        <v>13</v>
      </c>
      <c r="AL115" s="1">
        <v>17</v>
      </c>
      <c r="AM115" s="1">
        <v>57</v>
      </c>
      <c r="AN115" s="1">
        <f t="shared" si="70"/>
        <v>151</v>
      </c>
      <c r="AO115" s="1">
        <f t="shared" si="71"/>
        <v>76</v>
      </c>
      <c r="AP115" s="10"/>
      <c r="AQ115" s="1">
        <v>9</v>
      </c>
      <c r="AR115" s="1">
        <v>10.5</v>
      </c>
      <c r="AS115" s="1">
        <v>6</v>
      </c>
      <c r="AT115" s="1">
        <v>25</v>
      </c>
      <c r="AU115" s="1">
        <v>9</v>
      </c>
      <c r="AV115" s="1">
        <v>16</v>
      </c>
      <c r="AW115" s="1">
        <v>10</v>
      </c>
      <c r="AX115" s="1">
        <v>21</v>
      </c>
      <c r="AY115" s="1">
        <f t="shared" si="72"/>
        <v>18</v>
      </c>
      <c r="AZ115" s="1">
        <f t="shared" si="73"/>
        <v>27</v>
      </c>
      <c r="BA115" s="1">
        <f t="shared" si="74"/>
        <v>16</v>
      </c>
      <c r="BB115" s="1">
        <v>16</v>
      </c>
      <c r="BC115" s="1">
        <f t="shared" si="75"/>
        <v>46</v>
      </c>
      <c r="BD115" s="1">
        <f t="shared" si="76"/>
        <v>123</v>
      </c>
      <c r="BE115" s="1">
        <f t="shared" si="77"/>
        <v>62</v>
      </c>
      <c r="BF115" s="1"/>
      <c r="BG115" s="1"/>
      <c r="BH115" s="1"/>
      <c r="BI115" s="10"/>
      <c r="BJ115" s="10"/>
      <c r="BK115" s="10"/>
      <c r="BL115" s="10"/>
      <c r="BM115" s="10"/>
      <c r="BN115" s="10"/>
      <c r="BO115" s="10" t="s">
        <v>371</v>
      </c>
      <c r="BP115" s="10" t="s">
        <v>371</v>
      </c>
      <c r="BQ115" s="50"/>
      <c r="BR115" s="50">
        <f t="shared" si="54"/>
        <v>379</v>
      </c>
      <c r="BS115" s="51">
        <f t="shared" si="55"/>
        <v>63.166666666666664</v>
      </c>
      <c r="BT115" s="52" t="str">
        <f t="shared" si="53"/>
        <v>GRADE I</v>
      </c>
      <c r="BU115" s="10"/>
    </row>
    <row r="116" spans="1:73" ht="18" customHeight="1" x14ac:dyDescent="0.25">
      <c r="A116" s="2">
        <v>111</v>
      </c>
      <c r="B116" s="5" t="s">
        <v>238</v>
      </c>
      <c r="C116" s="1">
        <v>10</v>
      </c>
      <c r="D116" s="1">
        <v>22</v>
      </c>
      <c r="E116" s="1">
        <v>14</v>
      </c>
      <c r="F116" s="1">
        <v>17</v>
      </c>
      <c r="G116" s="1">
        <v>43</v>
      </c>
      <c r="H116" s="1">
        <f t="shared" si="62"/>
        <v>106</v>
      </c>
      <c r="I116" s="1">
        <f t="shared" si="63"/>
        <v>53</v>
      </c>
      <c r="J116" s="10"/>
      <c r="K116" s="1">
        <v>15</v>
      </c>
      <c r="L116" s="1">
        <v>25</v>
      </c>
      <c r="M116" s="1">
        <v>10</v>
      </c>
      <c r="N116" s="1">
        <v>17</v>
      </c>
      <c r="O116" s="1">
        <v>40</v>
      </c>
      <c r="P116" s="1">
        <f t="shared" si="64"/>
        <v>107</v>
      </c>
      <c r="Q116" s="1">
        <f t="shared" si="65"/>
        <v>54</v>
      </c>
      <c r="R116" s="1"/>
      <c r="S116" s="59">
        <v>18</v>
      </c>
      <c r="T116" s="59">
        <v>30</v>
      </c>
      <c r="U116" s="59">
        <v>14</v>
      </c>
      <c r="V116" s="59">
        <v>17</v>
      </c>
      <c r="W116" s="59">
        <v>48</v>
      </c>
      <c r="X116" s="59">
        <f t="shared" si="66"/>
        <v>127</v>
      </c>
      <c r="Y116" s="59">
        <f t="shared" si="67"/>
        <v>64</v>
      </c>
      <c r="Z116" s="58"/>
      <c r="AA116" s="1">
        <v>20</v>
      </c>
      <c r="AB116" s="1">
        <v>18</v>
      </c>
      <c r="AC116" s="1">
        <v>17</v>
      </c>
      <c r="AD116" s="1">
        <v>15</v>
      </c>
      <c r="AE116" s="1">
        <v>29</v>
      </c>
      <c r="AF116" s="1">
        <f t="shared" si="68"/>
        <v>99</v>
      </c>
      <c r="AG116" s="1">
        <f t="shared" si="69"/>
        <v>50</v>
      </c>
      <c r="AH116" s="10"/>
      <c r="AI116" s="1">
        <v>11</v>
      </c>
      <c r="AJ116" s="1">
        <v>26</v>
      </c>
      <c r="AK116" s="1">
        <v>13</v>
      </c>
      <c r="AL116" s="1">
        <v>16</v>
      </c>
      <c r="AM116" s="1">
        <v>57</v>
      </c>
      <c r="AN116" s="1">
        <f t="shared" si="70"/>
        <v>123</v>
      </c>
      <c r="AO116" s="1">
        <f t="shared" si="71"/>
        <v>62</v>
      </c>
      <c r="AP116" s="10"/>
      <c r="AQ116" s="1">
        <v>9.5</v>
      </c>
      <c r="AR116" s="1">
        <v>1.5</v>
      </c>
      <c r="AS116" s="1">
        <v>4</v>
      </c>
      <c r="AT116" s="1">
        <v>18</v>
      </c>
      <c r="AU116" s="1">
        <v>2</v>
      </c>
      <c r="AV116" s="1">
        <v>7.5</v>
      </c>
      <c r="AW116" s="1">
        <v>4</v>
      </c>
      <c r="AX116" s="1">
        <v>11</v>
      </c>
      <c r="AY116" s="1">
        <f t="shared" si="72"/>
        <v>12</v>
      </c>
      <c r="AZ116" s="1">
        <f t="shared" si="73"/>
        <v>9</v>
      </c>
      <c r="BA116" s="1">
        <f t="shared" si="74"/>
        <v>8</v>
      </c>
      <c r="BB116" s="1">
        <v>13</v>
      </c>
      <c r="BC116" s="1">
        <f t="shared" si="75"/>
        <v>29</v>
      </c>
      <c r="BD116" s="1">
        <f t="shared" si="76"/>
        <v>71</v>
      </c>
      <c r="BE116" s="1">
        <f t="shared" si="77"/>
        <v>36</v>
      </c>
      <c r="BF116" s="1"/>
      <c r="BG116" s="1"/>
      <c r="BH116" s="1"/>
      <c r="BI116" s="10"/>
      <c r="BJ116" s="10"/>
      <c r="BK116" s="10"/>
      <c r="BL116" s="10"/>
      <c r="BM116" s="10"/>
      <c r="BN116" s="10"/>
      <c r="BO116" s="10" t="s">
        <v>371</v>
      </c>
      <c r="BP116" s="10" t="s">
        <v>371</v>
      </c>
      <c r="BQ116" s="50"/>
      <c r="BR116" s="50">
        <f t="shared" si="54"/>
        <v>319</v>
      </c>
      <c r="BS116" s="51">
        <f t="shared" si="55"/>
        <v>53.166666666666664</v>
      </c>
      <c r="BT116" s="52" t="str">
        <f t="shared" si="53"/>
        <v>GRADE II</v>
      </c>
      <c r="BU116" s="10"/>
    </row>
    <row r="117" spans="1:73" ht="18" customHeight="1" x14ac:dyDescent="0.25">
      <c r="A117" s="2">
        <v>112</v>
      </c>
      <c r="B117" s="5" t="s">
        <v>239</v>
      </c>
      <c r="C117" s="1">
        <v>7</v>
      </c>
      <c r="D117" s="1">
        <v>20</v>
      </c>
      <c r="E117" s="1">
        <v>13</v>
      </c>
      <c r="F117" s="1">
        <v>17</v>
      </c>
      <c r="G117" s="1">
        <v>48</v>
      </c>
      <c r="H117" s="1">
        <f t="shared" si="62"/>
        <v>105</v>
      </c>
      <c r="I117" s="1">
        <f t="shared" si="63"/>
        <v>53</v>
      </c>
      <c r="J117" s="10"/>
      <c r="K117" s="1">
        <v>15</v>
      </c>
      <c r="L117" s="1">
        <v>21</v>
      </c>
      <c r="M117" s="1">
        <v>10</v>
      </c>
      <c r="N117" s="1">
        <v>14</v>
      </c>
      <c r="O117" s="1">
        <v>37</v>
      </c>
      <c r="P117" s="1">
        <f t="shared" si="64"/>
        <v>97</v>
      </c>
      <c r="Q117" s="1">
        <f t="shared" si="65"/>
        <v>49</v>
      </c>
      <c r="R117" s="1"/>
      <c r="S117" s="59">
        <v>20</v>
      </c>
      <c r="T117" s="59">
        <v>29</v>
      </c>
      <c r="U117" s="59">
        <v>19</v>
      </c>
      <c r="V117" s="59">
        <v>15</v>
      </c>
      <c r="W117" s="59">
        <v>39</v>
      </c>
      <c r="X117" s="59">
        <f t="shared" si="66"/>
        <v>122</v>
      </c>
      <c r="Y117" s="59">
        <f t="shared" si="67"/>
        <v>61</v>
      </c>
      <c r="Z117" s="58"/>
      <c r="AA117" s="1">
        <v>19</v>
      </c>
      <c r="AB117" s="1">
        <v>13</v>
      </c>
      <c r="AC117" s="1">
        <v>9</v>
      </c>
      <c r="AD117" s="1">
        <v>15</v>
      </c>
      <c r="AE117" s="1">
        <v>28</v>
      </c>
      <c r="AF117" s="1">
        <f t="shared" si="68"/>
        <v>84</v>
      </c>
      <c r="AG117" s="1">
        <f t="shared" si="69"/>
        <v>42</v>
      </c>
      <c r="AH117" s="10"/>
      <c r="AI117" s="1">
        <v>15</v>
      </c>
      <c r="AJ117" s="1">
        <v>34</v>
      </c>
      <c r="AK117" s="1">
        <v>9</v>
      </c>
      <c r="AL117" s="1">
        <v>18</v>
      </c>
      <c r="AM117" s="1">
        <v>48</v>
      </c>
      <c r="AN117" s="1">
        <f t="shared" si="70"/>
        <v>124</v>
      </c>
      <c r="AO117" s="1">
        <f t="shared" si="71"/>
        <v>62</v>
      </c>
      <c r="AP117" s="10"/>
      <c r="AQ117" s="1">
        <v>7</v>
      </c>
      <c r="AR117" s="1">
        <v>0</v>
      </c>
      <c r="AS117" s="1">
        <v>1</v>
      </c>
      <c r="AT117" s="1">
        <v>9</v>
      </c>
      <c r="AU117" s="1">
        <v>1</v>
      </c>
      <c r="AV117" s="1">
        <v>6.5</v>
      </c>
      <c r="AW117" s="1">
        <v>6</v>
      </c>
      <c r="AX117" s="1">
        <v>14</v>
      </c>
      <c r="AY117" s="1">
        <f t="shared" si="72"/>
        <v>8</v>
      </c>
      <c r="AZ117" s="1">
        <f t="shared" si="73"/>
        <v>7</v>
      </c>
      <c r="BA117" s="1">
        <f t="shared" si="74"/>
        <v>7</v>
      </c>
      <c r="BB117" s="1">
        <v>14</v>
      </c>
      <c r="BC117" s="1">
        <f t="shared" si="75"/>
        <v>23</v>
      </c>
      <c r="BD117" s="1">
        <f t="shared" si="76"/>
        <v>59</v>
      </c>
      <c r="BE117" s="1">
        <f t="shared" si="77"/>
        <v>30</v>
      </c>
      <c r="BF117" s="1">
        <v>5</v>
      </c>
      <c r="BG117" s="1"/>
      <c r="BH117" s="1"/>
      <c r="BI117" s="10"/>
      <c r="BJ117" s="10"/>
      <c r="BK117" s="10"/>
      <c r="BL117" s="10"/>
      <c r="BM117" s="10"/>
      <c r="BN117" s="10"/>
      <c r="BO117" s="10" t="s">
        <v>371</v>
      </c>
      <c r="BP117" s="10" t="s">
        <v>371</v>
      </c>
      <c r="BQ117" s="50">
        <f t="shared" si="59"/>
        <v>5</v>
      </c>
      <c r="BR117" s="50">
        <f t="shared" si="54"/>
        <v>297</v>
      </c>
      <c r="BS117" s="51">
        <f t="shared" si="55"/>
        <v>49.5</v>
      </c>
      <c r="BT117" s="52" t="s">
        <v>375</v>
      </c>
      <c r="BU117" s="10"/>
    </row>
    <row r="118" spans="1:73" ht="18" customHeight="1" x14ac:dyDescent="0.25">
      <c r="A118" s="2">
        <v>113</v>
      </c>
      <c r="B118" s="5" t="s">
        <v>240</v>
      </c>
      <c r="C118" s="1">
        <v>7</v>
      </c>
      <c r="D118" s="1">
        <v>16</v>
      </c>
      <c r="E118" s="1">
        <v>12</v>
      </c>
      <c r="F118" s="1">
        <v>14</v>
      </c>
      <c r="G118" s="1">
        <v>36</v>
      </c>
      <c r="H118" s="1">
        <f t="shared" si="62"/>
        <v>85</v>
      </c>
      <c r="I118" s="1">
        <f t="shared" si="63"/>
        <v>43</v>
      </c>
      <c r="J118" s="10"/>
      <c r="K118" s="1">
        <v>13</v>
      </c>
      <c r="L118" s="1">
        <v>30</v>
      </c>
      <c r="M118" s="1">
        <v>14</v>
      </c>
      <c r="N118" s="1">
        <v>11</v>
      </c>
      <c r="O118" s="1">
        <v>37</v>
      </c>
      <c r="P118" s="1">
        <f t="shared" si="64"/>
        <v>105</v>
      </c>
      <c r="Q118" s="1">
        <f t="shared" si="65"/>
        <v>53</v>
      </c>
      <c r="R118" s="1"/>
      <c r="S118" s="59">
        <v>22</v>
      </c>
      <c r="T118" s="59">
        <v>40</v>
      </c>
      <c r="U118" s="59">
        <v>16</v>
      </c>
      <c r="V118" s="59">
        <v>17</v>
      </c>
      <c r="W118" s="59">
        <v>59</v>
      </c>
      <c r="X118" s="59">
        <f t="shared" si="66"/>
        <v>154</v>
      </c>
      <c r="Y118" s="59">
        <f t="shared" si="67"/>
        <v>77</v>
      </c>
      <c r="Z118" s="58"/>
      <c r="AA118" s="1">
        <v>20</v>
      </c>
      <c r="AB118" s="1">
        <v>29</v>
      </c>
      <c r="AC118" s="1">
        <v>16</v>
      </c>
      <c r="AD118" s="1">
        <v>17</v>
      </c>
      <c r="AE118" s="1">
        <v>38</v>
      </c>
      <c r="AF118" s="1">
        <f t="shared" si="68"/>
        <v>120</v>
      </c>
      <c r="AG118" s="1">
        <f t="shared" si="69"/>
        <v>60</v>
      </c>
      <c r="AH118" s="10"/>
      <c r="AI118" s="1">
        <v>16</v>
      </c>
      <c r="AJ118" s="1">
        <v>32</v>
      </c>
      <c r="AK118" s="1">
        <v>15</v>
      </c>
      <c r="AL118" s="1">
        <v>18</v>
      </c>
      <c r="AM118" s="1">
        <v>44</v>
      </c>
      <c r="AN118" s="1">
        <f t="shared" si="70"/>
        <v>125</v>
      </c>
      <c r="AO118" s="1">
        <f t="shared" si="71"/>
        <v>63</v>
      </c>
      <c r="AP118" s="10"/>
      <c r="AQ118" s="1">
        <v>10</v>
      </c>
      <c r="AR118" s="1">
        <v>9.5</v>
      </c>
      <c r="AS118" s="1">
        <v>6</v>
      </c>
      <c r="AT118" s="1">
        <v>18</v>
      </c>
      <c r="AU118" s="1">
        <v>1.5</v>
      </c>
      <c r="AV118" s="1">
        <v>9</v>
      </c>
      <c r="AW118" s="1">
        <v>5</v>
      </c>
      <c r="AX118" s="1">
        <v>8</v>
      </c>
      <c r="AY118" s="1">
        <f t="shared" si="72"/>
        <v>12</v>
      </c>
      <c r="AZ118" s="1">
        <f t="shared" si="73"/>
        <v>19</v>
      </c>
      <c r="BA118" s="1">
        <f t="shared" si="74"/>
        <v>11</v>
      </c>
      <c r="BB118" s="1">
        <v>8</v>
      </c>
      <c r="BC118" s="1">
        <f t="shared" si="75"/>
        <v>26</v>
      </c>
      <c r="BD118" s="1">
        <f t="shared" si="76"/>
        <v>76</v>
      </c>
      <c r="BE118" s="1">
        <f t="shared" si="77"/>
        <v>38</v>
      </c>
      <c r="BF118" s="1"/>
      <c r="BG118" s="1"/>
      <c r="BH118" s="1"/>
      <c r="BI118" s="10"/>
      <c r="BJ118" s="10"/>
      <c r="BK118" s="10"/>
      <c r="BL118" s="10"/>
      <c r="BM118" s="10"/>
      <c r="BN118" s="10"/>
      <c r="BO118" s="10" t="s">
        <v>372</v>
      </c>
      <c r="BP118" s="10" t="s">
        <v>371</v>
      </c>
      <c r="BQ118" s="50"/>
      <c r="BR118" s="50">
        <f t="shared" si="54"/>
        <v>334</v>
      </c>
      <c r="BS118" s="51">
        <f t="shared" si="55"/>
        <v>55.666666666666664</v>
      </c>
      <c r="BT118" s="52" t="str">
        <f t="shared" si="53"/>
        <v>GRADE II</v>
      </c>
      <c r="BU118" s="10"/>
    </row>
    <row r="119" spans="1:73" ht="18" customHeight="1" x14ac:dyDescent="0.25">
      <c r="A119" s="2">
        <v>114</v>
      </c>
      <c r="B119" s="54" t="s">
        <v>241</v>
      </c>
      <c r="C119" s="1">
        <v>7</v>
      </c>
      <c r="D119" s="1">
        <v>7</v>
      </c>
      <c r="E119" s="1">
        <v>3</v>
      </c>
      <c r="F119" s="1">
        <v>10</v>
      </c>
      <c r="G119" s="1">
        <v>17</v>
      </c>
      <c r="H119" s="1">
        <f t="shared" si="62"/>
        <v>44</v>
      </c>
      <c r="I119" s="1">
        <f t="shared" si="63"/>
        <v>22</v>
      </c>
      <c r="J119" s="10"/>
      <c r="K119" s="1">
        <v>10</v>
      </c>
      <c r="L119" s="1">
        <v>16</v>
      </c>
      <c r="M119" s="1">
        <v>10</v>
      </c>
      <c r="N119" s="1">
        <v>11</v>
      </c>
      <c r="O119" s="1">
        <v>15</v>
      </c>
      <c r="P119" s="1">
        <f t="shared" si="64"/>
        <v>62</v>
      </c>
      <c r="Q119" s="1">
        <f t="shared" si="65"/>
        <v>31</v>
      </c>
      <c r="R119" s="1"/>
      <c r="S119" s="59">
        <v>7</v>
      </c>
      <c r="T119" s="59">
        <v>12</v>
      </c>
      <c r="U119" s="59">
        <v>3</v>
      </c>
      <c r="V119" s="59">
        <v>17</v>
      </c>
      <c r="W119" s="59">
        <v>15</v>
      </c>
      <c r="X119" s="59">
        <f t="shared" si="66"/>
        <v>54</v>
      </c>
      <c r="Y119" s="59">
        <f t="shared" si="67"/>
        <v>27</v>
      </c>
      <c r="Z119" s="58"/>
      <c r="AA119" s="1">
        <v>5</v>
      </c>
      <c r="AB119" s="1">
        <v>6</v>
      </c>
      <c r="AC119" s="1">
        <v>6</v>
      </c>
      <c r="AD119" s="1">
        <v>14</v>
      </c>
      <c r="AE119" s="1">
        <v>9</v>
      </c>
      <c r="AF119" s="1">
        <f t="shared" si="68"/>
        <v>40</v>
      </c>
      <c r="AG119" s="1">
        <f t="shared" si="69"/>
        <v>20</v>
      </c>
      <c r="AH119" s="10"/>
      <c r="AI119" s="1">
        <v>6</v>
      </c>
      <c r="AJ119" s="1">
        <v>8</v>
      </c>
      <c r="AK119" s="1">
        <v>5</v>
      </c>
      <c r="AL119" s="1">
        <v>15</v>
      </c>
      <c r="AM119" s="1">
        <v>21</v>
      </c>
      <c r="AN119" s="1">
        <f t="shared" si="70"/>
        <v>55</v>
      </c>
      <c r="AO119" s="1">
        <f t="shared" si="71"/>
        <v>28</v>
      </c>
      <c r="AP119" s="10"/>
      <c r="AQ119" s="1">
        <v>1</v>
      </c>
      <c r="AR119" s="1">
        <v>0</v>
      </c>
      <c r="AS119" s="1">
        <v>3</v>
      </c>
      <c r="AT119" s="1">
        <v>8</v>
      </c>
      <c r="AU119" s="1">
        <v>1</v>
      </c>
      <c r="AV119" s="1">
        <v>4</v>
      </c>
      <c r="AW119" s="1">
        <v>0</v>
      </c>
      <c r="AX119" s="1">
        <v>7</v>
      </c>
      <c r="AY119" s="1">
        <f t="shared" si="72"/>
        <v>2</v>
      </c>
      <c r="AZ119" s="1">
        <f t="shared" si="73"/>
        <v>4</v>
      </c>
      <c r="BA119" s="1">
        <f t="shared" si="74"/>
        <v>3</v>
      </c>
      <c r="BB119" s="1">
        <v>0</v>
      </c>
      <c r="BC119" s="1">
        <f t="shared" si="75"/>
        <v>15</v>
      </c>
      <c r="BD119" s="1">
        <f t="shared" si="76"/>
        <v>24</v>
      </c>
      <c r="BE119" s="1">
        <f t="shared" si="77"/>
        <v>12</v>
      </c>
      <c r="BF119" s="1"/>
      <c r="BG119" s="1"/>
      <c r="BH119" s="1"/>
      <c r="BI119" s="10"/>
      <c r="BJ119" s="10"/>
      <c r="BK119" s="10"/>
      <c r="BL119" s="10"/>
      <c r="BM119" s="10"/>
      <c r="BN119" s="10"/>
      <c r="BO119" s="10" t="s">
        <v>372</v>
      </c>
      <c r="BP119" s="10" t="s">
        <v>372</v>
      </c>
      <c r="BQ119" s="50"/>
      <c r="BR119" s="50">
        <f t="shared" si="54"/>
        <v>140</v>
      </c>
      <c r="BS119" s="51">
        <f t="shared" si="55"/>
        <v>23.333333333333332</v>
      </c>
      <c r="BT119" s="52" t="str">
        <f t="shared" si="53"/>
        <v>FAIL</v>
      </c>
      <c r="BU119" s="10"/>
    </row>
    <row r="120" spans="1:73" ht="18" customHeight="1" x14ac:dyDescent="0.25">
      <c r="A120" s="2">
        <v>115</v>
      </c>
      <c r="B120" s="5" t="s">
        <v>242</v>
      </c>
      <c r="C120" s="1">
        <v>12</v>
      </c>
      <c r="D120" s="1">
        <v>26</v>
      </c>
      <c r="E120" s="1">
        <v>17</v>
      </c>
      <c r="F120" s="1">
        <v>11</v>
      </c>
      <c r="G120" s="1">
        <v>50</v>
      </c>
      <c r="H120" s="1">
        <f t="shared" si="62"/>
        <v>116</v>
      </c>
      <c r="I120" s="1">
        <f t="shared" si="63"/>
        <v>58</v>
      </c>
      <c r="J120" s="10"/>
      <c r="K120" s="1">
        <v>13</v>
      </c>
      <c r="L120" s="1">
        <v>20</v>
      </c>
      <c r="M120" s="1">
        <v>12</v>
      </c>
      <c r="N120" s="1">
        <v>14</v>
      </c>
      <c r="O120" s="1">
        <v>33</v>
      </c>
      <c r="P120" s="1">
        <f t="shared" si="64"/>
        <v>92</v>
      </c>
      <c r="Q120" s="1">
        <f t="shared" si="65"/>
        <v>46</v>
      </c>
      <c r="R120" s="1"/>
      <c r="S120" s="59">
        <v>24</v>
      </c>
      <c r="T120" s="59">
        <v>45</v>
      </c>
      <c r="U120" s="59">
        <v>18</v>
      </c>
      <c r="V120" s="59">
        <v>16</v>
      </c>
      <c r="W120" s="59">
        <v>63</v>
      </c>
      <c r="X120" s="59">
        <f t="shared" si="66"/>
        <v>166</v>
      </c>
      <c r="Y120" s="59">
        <f t="shared" si="67"/>
        <v>83</v>
      </c>
      <c r="Z120" s="58"/>
      <c r="AA120" s="1">
        <v>24</v>
      </c>
      <c r="AB120" s="1">
        <v>33</v>
      </c>
      <c r="AC120" s="1">
        <v>15</v>
      </c>
      <c r="AD120" s="1">
        <v>19</v>
      </c>
      <c r="AE120" s="1">
        <v>42</v>
      </c>
      <c r="AF120" s="1">
        <f t="shared" si="68"/>
        <v>133</v>
      </c>
      <c r="AG120" s="1">
        <f t="shared" si="69"/>
        <v>67</v>
      </c>
      <c r="AH120" s="10"/>
      <c r="AI120" s="1">
        <v>19</v>
      </c>
      <c r="AJ120" s="1">
        <v>49</v>
      </c>
      <c r="AK120" s="1">
        <v>17</v>
      </c>
      <c r="AL120" s="1">
        <v>17</v>
      </c>
      <c r="AM120" s="1">
        <v>68</v>
      </c>
      <c r="AN120" s="1">
        <f t="shared" si="70"/>
        <v>170</v>
      </c>
      <c r="AO120" s="1">
        <f t="shared" si="71"/>
        <v>85</v>
      </c>
      <c r="AP120" s="10"/>
      <c r="AQ120" s="1">
        <v>10</v>
      </c>
      <c r="AR120" s="1">
        <v>22</v>
      </c>
      <c r="AS120" s="1">
        <v>6.5</v>
      </c>
      <c r="AT120" s="1">
        <v>31</v>
      </c>
      <c r="AU120" s="1">
        <v>9</v>
      </c>
      <c r="AV120" s="1">
        <v>17.5</v>
      </c>
      <c r="AW120" s="1">
        <v>5.5</v>
      </c>
      <c r="AX120" s="1">
        <v>35</v>
      </c>
      <c r="AY120" s="1">
        <f t="shared" si="72"/>
        <v>19</v>
      </c>
      <c r="AZ120" s="1">
        <f t="shared" si="73"/>
        <v>40</v>
      </c>
      <c r="BA120" s="1">
        <f t="shared" si="74"/>
        <v>12</v>
      </c>
      <c r="BB120" s="1">
        <v>18</v>
      </c>
      <c r="BC120" s="1">
        <f t="shared" si="75"/>
        <v>66</v>
      </c>
      <c r="BD120" s="1">
        <f t="shared" si="76"/>
        <v>155</v>
      </c>
      <c r="BE120" s="1">
        <f t="shared" si="77"/>
        <v>78</v>
      </c>
      <c r="BF120" s="1"/>
      <c r="BG120" s="1"/>
      <c r="BH120" s="1"/>
      <c r="BI120" s="10"/>
      <c r="BJ120" s="10"/>
      <c r="BK120" s="10"/>
      <c r="BL120" s="10"/>
      <c r="BM120" s="10"/>
      <c r="BN120" s="10"/>
      <c r="BO120" s="10" t="s">
        <v>371</v>
      </c>
      <c r="BP120" s="10" t="s">
        <v>372</v>
      </c>
      <c r="BQ120" s="50"/>
      <c r="BR120" s="50">
        <f t="shared" si="54"/>
        <v>417</v>
      </c>
      <c r="BS120" s="51">
        <f t="shared" si="55"/>
        <v>69.5</v>
      </c>
      <c r="BT120" s="52" t="str">
        <f t="shared" si="53"/>
        <v>GRADE I</v>
      </c>
      <c r="BU120" s="10"/>
    </row>
    <row r="121" spans="1:73" ht="18" customHeight="1" x14ac:dyDescent="0.25">
      <c r="A121" s="2">
        <v>116</v>
      </c>
      <c r="B121" s="5" t="s">
        <v>243</v>
      </c>
      <c r="C121" s="1">
        <v>9</v>
      </c>
      <c r="D121" s="1">
        <v>21</v>
      </c>
      <c r="E121" s="1">
        <v>12</v>
      </c>
      <c r="F121" s="1">
        <v>16</v>
      </c>
      <c r="G121" s="1">
        <v>49</v>
      </c>
      <c r="H121" s="1">
        <f t="shared" si="62"/>
        <v>107</v>
      </c>
      <c r="I121" s="1">
        <f t="shared" si="63"/>
        <v>54</v>
      </c>
      <c r="J121" s="10"/>
      <c r="K121" s="1">
        <v>12</v>
      </c>
      <c r="L121" s="1">
        <v>22</v>
      </c>
      <c r="M121" s="1">
        <v>11</v>
      </c>
      <c r="N121" s="1">
        <v>11</v>
      </c>
      <c r="O121" s="1">
        <v>24</v>
      </c>
      <c r="P121" s="1">
        <f t="shared" si="64"/>
        <v>80</v>
      </c>
      <c r="Q121" s="1">
        <f t="shared" si="65"/>
        <v>40</v>
      </c>
      <c r="R121" s="1"/>
      <c r="S121" s="59">
        <v>14</v>
      </c>
      <c r="T121" s="59">
        <v>29</v>
      </c>
      <c r="U121" s="59">
        <v>6</v>
      </c>
      <c r="V121" s="59">
        <v>19</v>
      </c>
      <c r="W121" s="59">
        <v>34</v>
      </c>
      <c r="X121" s="59">
        <f t="shared" si="66"/>
        <v>102</v>
      </c>
      <c r="Y121" s="59">
        <f t="shared" si="67"/>
        <v>51</v>
      </c>
      <c r="Z121" s="58"/>
      <c r="AA121" s="1">
        <v>8</v>
      </c>
      <c r="AB121" s="1">
        <v>3</v>
      </c>
      <c r="AC121" s="1">
        <v>11</v>
      </c>
      <c r="AD121" s="1">
        <v>14</v>
      </c>
      <c r="AE121" s="1">
        <v>15</v>
      </c>
      <c r="AF121" s="1">
        <f t="shared" si="68"/>
        <v>51</v>
      </c>
      <c r="AG121" s="1">
        <f t="shared" si="69"/>
        <v>26</v>
      </c>
      <c r="AH121" s="10">
        <v>9</v>
      </c>
      <c r="AI121" s="1">
        <v>8</v>
      </c>
      <c r="AJ121" s="1">
        <v>16</v>
      </c>
      <c r="AK121" s="1">
        <v>11</v>
      </c>
      <c r="AL121" s="1">
        <v>18</v>
      </c>
      <c r="AM121" s="1">
        <v>32</v>
      </c>
      <c r="AN121" s="1">
        <f t="shared" si="70"/>
        <v>85</v>
      </c>
      <c r="AO121" s="1">
        <f t="shared" si="71"/>
        <v>43</v>
      </c>
      <c r="AP121" s="10"/>
      <c r="AQ121" s="1">
        <v>5.5</v>
      </c>
      <c r="AR121" s="1">
        <v>1</v>
      </c>
      <c r="AS121" s="1">
        <v>2.5</v>
      </c>
      <c r="AT121" s="1">
        <v>11</v>
      </c>
      <c r="AU121" s="1">
        <v>2.5</v>
      </c>
      <c r="AV121" s="1">
        <v>6</v>
      </c>
      <c r="AW121" s="1">
        <v>3</v>
      </c>
      <c r="AX121" s="1">
        <v>11</v>
      </c>
      <c r="AY121" s="1">
        <f t="shared" si="72"/>
        <v>8</v>
      </c>
      <c r="AZ121" s="1">
        <f t="shared" si="73"/>
        <v>7</v>
      </c>
      <c r="BA121" s="1">
        <f t="shared" si="74"/>
        <v>6</v>
      </c>
      <c r="BB121" s="1">
        <v>14</v>
      </c>
      <c r="BC121" s="1">
        <f t="shared" si="75"/>
        <v>22</v>
      </c>
      <c r="BD121" s="1">
        <f t="shared" si="76"/>
        <v>57</v>
      </c>
      <c r="BE121" s="1">
        <f t="shared" si="77"/>
        <v>29</v>
      </c>
      <c r="BF121" s="1">
        <v>6</v>
      </c>
      <c r="BG121" s="1"/>
      <c r="BH121" s="1"/>
      <c r="BI121" s="10"/>
      <c r="BJ121" s="10"/>
      <c r="BK121" s="10"/>
      <c r="BL121" s="10"/>
      <c r="BM121" s="10"/>
      <c r="BN121" s="10"/>
      <c r="BO121" s="10" t="s">
        <v>371</v>
      </c>
      <c r="BP121" s="10" t="s">
        <v>372</v>
      </c>
      <c r="BQ121" s="50">
        <v>15</v>
      </c>
      <c r="BR121" s="50">
        <f t="shared" si="54"/>
        <v>243</v>
      </c>
      <c r="BS121" s="51">
        <f t="shared" si="55"/>
        <v>40.5</v>
      </c>
      <c r="BT121" s="52" t="s">
        <v>375</v>
      </c>
      <c r="BU121" s="10"/>
    </row>
    <row r="122" spans="1:73" ht="18" customHeight="1" x14ac:dyDescent="0.25">
      <c r="A122" s="2">
        <v>117</v>
      </c>
      <c r="B122" s="5" t="s">
        <v>244</v>
      </c>
      <c r="C122" s="1">
        <v>11</v>
      </c>
      <c r="D122" s="1">
        <v>32</v>
      </c>
      <c r="E122" s="1">
        <v>13</v>
      </c>
      <c r="F122" s="1">
        <v>17</v>
      </c>
      <c r="G122" s="1">
        <v>49</v>
      </c>
      <c r="H122" s="1">
        <f t="shared" si="62"/>
        <v>122</v>
      </c>
      <c r="I122" s="1">
        <f t="shared" si="63"/>
        <v>61</v>
      </c>
      <c r="J122" s="10"/>
      <c r="K122" s="1">
        <v>20</v>
      </c>
      <c r="L122" s="1">
        <v>40</v>
      </c>
      <c r="M122" s="1">
        <v>19</v>
      </c>
      <c r="N122" s="1">
        <v>15</v>
      </c>
      <c r="O122" s="1">
        <v>60</v>
      </c>
      <c r="P122" s="1">
        <f t="shared" si="64"/>
        <v>154</v>
      </c>
      <c r="Q122" s="1">
        <f t="shared" si="65"/>
        <v>77</v>
      </c>
      <c r="R122" s="1"/>
      <c r="S122" s="59">
        <v>22</v>
      </c>
      <c r="T122" s="59">
        <v>42</v>
      </c>
      <c r="U122" s="59">
        <v>13</v>
      </c>
      <c r="V122" s="59">
        <v>19</v>
      </c>
      <c r="W122" s="59">
        <v>67</v>
      </c>
      <c r="X122" s="59">
        <f t="shared" si="66"/>
        <v>163</v>
      </c>
      <c r="Y122" s="59">
        <f t="shared" si="67"/>
        <v>82</v>
      </c>
      <c r="Z122" s="58"/>
      <c r="AA122" s="1">
        <v>22</v>
      </c>
      <c r="AB122" s="1">
        <v>30</v>
      </c>
      <c r="AC122" s="1">
        <v>14</v>
      </c>
      <c r="AD122" s="1">
        <v>19</v>
      </c>
      <c r="AE122" s="1">
        <v>42</v>
      </c>
      <c r="AF122" s="1">
        <f t="shared" si="68"/>
        <v>127</v>
      </c>
      <c r="AG122" s="1">
        <f t="shared" si="69"/>
        <v>64</v>
      </c>
      <c r="AH122" s="10"/>
      <c r="AI122" s="1">
        <v>24</v>
      </c>
      <c r="AJ122" s="1">
        <v>42</v>
      </c>
      <c r="AK122" s="1">
        <v>16</v>
      </c>
      <c r="AL122" s="1">
        <v>20</v>
      </c>
      <c r="AM122" s="1">
        <v>72</v>
      </c>
      <c r="AN122" s="1">
        <f t="shared" si="70"/>
        <v>174</v>
      </c>
      <c r="AO122" s="1">
        <f t="shared" si="71"/>
        <v>87</v>
      </c>
      <c r="AP122" s="10"/>
      <c r="AQ122" s="1">
        <v>9.5</v>
      </c>
      <c r="AR122" s="1">
        <v>19.5</v>
      </c>
      <c r="AS122" s="1">
        <v>5.5</v>
      </c>
      <c r="AT122" s="1">
        <v>21</v>
      </c>
      <c r="AU122" s="1">
        <v>6.5</v>
      </c>
      <c r="AV122" s="1">
        <v>17.5</v>
      </c>
      <c r="AW122" s="1">
        <v>8</v>
      </c>
      <c r="AX122" s="1">
        <v>25</v>
      </c>
      <c r="AY122" s="1">
        <f t="shared" si="72"/>
        <v>16</v>
      </c>
      <c r="AZ122" s="1">
        <f t="shared" si="73"/>
        <v>37</v>
      </c>
      <c r="BA122" s="1">
        <f t="shared" si="74"/>
        <v>14</v>
      </c>
      <c r="BB122" s="1">
        <v>17</v>
      </c>
      <c r="BC122" s="1">
        <f t="shared" si="75"/>
        <v>46</v>
      </c>
      <c r="BD122" s="1">
        <f t="shared" si="76"/>
        <v>130</v>
      </c>
      <c r="BE122" s="1">
        <f t="shared" si="77"/>
        <v>65</v>
      </c>
      <c r="BF122" s="1"/>
      <c r="BG122" s="1"/>
      <c r="BH122" s="1"/>
      <c r="BI122" s="10"/>
      <c r="BJ122" s="10"/>
      <c r="BK122" s="10"/>
      <c r="BL122" s="10"/>
      <c r="BM122" s="10"/>
      <c r="BN122" s="10"/>
      <c r="BO122" s="10" t="s">
        <v>371</v>
      </c>
      <c r="BP122" s="10" t="s">
        <v>371</v>
      </c>
      <c r="BQ122" s="50"/>
      <c r="BR122" s="50">
        <f t="shared" si="54"/>
        <v>436</v>
      </c>
      <c r="BS122" s="51">
        <f t="shared" si="55"/>
        <v>72.666666666666671</v>
      </c>
      <c r="BT122" s="52" t="str">
        <f t="shared" si="53"/>
        <v>GRADE I</v>
      </c>
      <c r="BU122" s="10"/>
    </row>
    <row r="123" spans="1:73" ht="18" customHeight="1" x14ac:dyDescent="0.25">
      <c r="A123" s="2">
        <v>118</v>
      </c>
      <c r="B123" s="5" t="s">
        <v>245</v>
      </c>
      <c r="C123" s="1">
        <v>17</v>
      </c>
      <c r="D123" s="1">
        <v>36</v>
      </c>
      <c r="E123" s="1">
        <v>17</v>
      </c>
      <c r="F123" s="1">
        <v>17</v>
      </c>
      <c r="G123" s="1">
        <v>56</v>
      </c>
      <c r="H123" s="1">
        <f t="shared" si="62"/>
        <v>143</v>
      </c>
      <c r="I123" s="1">
        <f t="shared" si="63"/>
        <v>72</v>
      </c>
      <c r="J123" s="10"/>
      <c r="K123" s="1">
        <v>17</v>
      </c>
      <c r="L123" s="1">
        <v>39</v>
      </c>
      <c r="M123" s="1">
        <v>19</v>
      </c>
      <c r="N123" s="1">
        <v>16</v>
      </c>
      <c r="O123" s="1">
        <v>54</v>
      </c>
      <c r="P123" s="1">
        <f t="shared" si="64"/>
        <v>145</v>
      </c>
      <c r="Q123" s="1">
        <f t="shared" si="65"/>
        <v>73</v>
      </c>
      <c r="R123" s="1"/>
      <c r="S123" s="59">
        <v>23</v>
      </c>
      <c r="T123" s="59">
        <v>44</v>
      </c>
      <c r="U123" s="59">
        <v>20</v>
      </c>
      <c r="V123" s="59">
        <v>20</v>
      </c>
      <c r="W123" s="59">
        <v>69</v>
      </c>
      <c r="X123" s="59">
        <f t="shared" si="66"/>
        <v>176</v>
      </c>
      <c r="Y123" s="59">
        <f t="shared" si="67"/>
        <v>88</v>
      </c>
      <c r="Z123" s="58"/>
      <c r="AA123" s="1">
        <v>25</v>
      </c>
      <c r="AB123" s="1">
        <v>42</v>
      </c>
      <c r="AC123" s="1">
        <v>25</v>
      </c>
      <c r="AD123" s="1">
        <v>20</v>
      </c>
      <c r="AE123" s="1">
        <v>77</v>
      </c>
      <c r="AF123" s="1">
        <f t="shared" si="68"/>
        <v>189</v>
      </c>
      <c r="AG123" s="1">
        <f t="shared" si="69"/>
        <v>95</v>
      </c>
      <c r="AH123" s="10"/>
      <c r="AI123" s="1">
        <v>24</v>
      </c>
      <c r="AJ123" s="1">
        <v>49</v>
      </c>
      <c r="AK123" s="1">
        <v>25</v>
      </c>
      <c r="AL123" s="1">
        <v>18</v>
      </c>
      <c r="AM123" s="1">
        <v>75</v>
      </c>
      <c r="AN123" s="1">
        <f t="shared" si="70"/>
        <v>191</v>
      </c>
      <c r="AO123" s="1">
        <f t="shared" si="71"/>
        <v>96</v>
      </c>
      <c r="AP123" s="10"/>
      <c r="AQ123" s="1">
        <v>13</v>
      </c>
      <c r="AR123" s="1">
        <v>25</v>
      </c>
      <c r="AS123" s="1">
        <v>9</v>
      </c>
      <c r="AT123" s="1">
        <v>35</v>
      </c>
      <c r="AU123" s="1">
        <v>12</v>
      </c>
      <c r="AV123" s="1">
        <v>22.5</v>
      </c>
      <c r="AW123" s="1">
        <v>12</v>
      </c>
      <c r="AX123" s="1">
        <v>34</v>
      </c>
      <c r="AY123" s="1">
        <f t="shared" si="72"/>
        <v>25</v>
      </c>
      <c r="AZ123" s="1">
        <f t="shared" si="73"/>
        <v>48</v>
      </c>
      <c r="BA123" s="1">
        <f t="shared" si="74"/>
        <v>21</v>
      </c>
      <c r="BB123" s="1">
        <v>16</v>
      </c>
      <c r="BC123" s="1">
        <f t="shared" si="75"/>
        <v>69</v>
      </c>
      <c r="BD123" s="1">
        <f t="shared" si="76"/>
        <v>179</v>
      </c>
      <c r="BE123" s="1">
        <f t="shared" si="77"/>
        <v>90</v>
      </c>
      <c r="BF123" s="1"/>
      <c r="BG123" s="1"/>
      <c r="BH123" s="1"/>
      <c r="BI123" s="10"/>
      <c r="BJ123" s="10"/>
      <c r="BK123" s="10"/>
      <c r="BL123" s="10"/>
      <c r="BM123" s="10"/>
      <c r="BN123" s="10"/>
      <c r="BO123" s="10" t="s">
        <v>371</v>
      </c>
      <c r="BP123" s="10" t="s">
        <v>371</v>
      </c>
      <c r="BQ123" s="50"/>
      <c r="BR123" s="50">
        <f t="shared" si="54"/>
        <v>514</v>
      </c>
      <c r="BS123" s="51">
        <f t="shared" si="55"/>
        <v>85.666666666666671</v>
      </c>
      <c r="BT123" s="52" t="str">
        <f t="shared" si="53"/>
        <v>GRADE I with Distinction</v>
      </c>
      <c r="BU123" s="10"/>
    </row>
    <row r="124" spans="1:73" ht="18" customHeight="1" x14ac:dyDescent="0.25">
      <c r="A124" s="2">
        <v>119</v>
      </c>
      <c r="B124" s="5" t="s">
        <v>246</v>
      </c>
      <c r="C124" s="1">
        <v>7</v>
      </c>
      <c r="D124" s="1">
        <v>13</v>
      </c>
      <c r="E124" s="1">
        <v>13</v>
      </c>
      <c r="F124" s="1">
        <v>13</v>
      </c>
      <c r="G124" s="1">
        <v>28</v>
      </c>
      <c r="H124" s="1">
        <f t="shared" si="62"/>
        <v>74</v>
      </c>
      <c r="I124" s="1">
        <f t="shared" si="63"/>
        <v>37</v>
      </c>
      <c r="J124" s="10"/>
      <c r="K124" s="1">
        <v>3</v>
      </c>
      <c r="L124" s="1">
        <v>6</v>
      </c>
      <c r="M124" s="1">
        <v>7</v>
      </c>
      <c r="N124" s="1">
        <v>10</v>
      </c>
      <c r="O124" s="1">
        <v>19</v>
      </c>
      <c r="P124" s="1">
        <f t="shared" si="64"/>
        <v>45</v>
      </c>
      <c r="Q124" s="1">
        <f t="shared" si="65"/>
        <v>23</v>
      </c>
      <c r="R124" s="1"/>
      <c r="S124" s="59">
        <v>12</v>
      </c>
      <c r="T124" s="59">
        <v>18</v>
      </c>
      <c r="U124" s="59">
        <v>13</v>
      </c>
      <c r="V124" s="59">
        <v>13</v>
      </c>
      <c r="W124" s="59">
        <v>22</v>
      </c>
      <c r="X124" s="59">
        <f t="shared" si="66"/>
        <v>78</v>
      </c>
      <c r="Y124" s="59">
        <f t="shared" si="67"/>
        <v>39</v>
      </c>
      <c r="Z124" s="58"/>
      <c r="AA124" s="1">
        <v>14</v>
      </c>
      <c r="AB124" s="1">
        <v>4</v>
      </c>
      <c r="AC124" s="1">
        <v>4</v>
      </c>
      <c r="AD124" s="1">
        <v>11</v>
      </c>
      <c r="AE124" s="1">
        <v>7</v>
      </c>
      <c r="AF124" s="1">
        <f t="shared" si="68"/>
        <v>40</v>
      </c>
      <c r="AG124" s="1">
        <f t="shared" si="69"/>
        <v>20</v>
      </c>
      <c r="AH124" s="10"/>
      <c r="AI124" s="1">
        <v>8</v>
      </c>
      <c r="AJ124" s="1">
        <v>13</v>
      </c>
      <c r="AK124" s="1">
        <v>5</v>
      </c>
      <c r="AL124" s="1">
        <v>14</v>
      </c>
      <c r="AM124" s="1">
        <v>28</v>
      </c>
      <c r="AN124" s="1">
        <f t="shared" si="70"/>
        <v>68</v>
      </c>
      <c r="AO124" s="1">
        <f t="shared" si="71"/>
        <v>34</v>
      </c>
      <c r="AP124" s="10"/>
      <c r="AQ124" s="1">
        <v>1</v>
      </c>
      <c r="AR124" s="1">
        <v>3</v>
      </c>
      <c r="AS124" s="1">
        <v>3</v>
      </c>
      <c r="AT124" s="1">
        <v>6</v>
      </c>
      <c r="AU124" s="1">
        <v>0</v>
      </c>
      <c r="AV124" s="1">
        <v>3</v>
      </c>
      <c r="AW124" s="1">
        <v>2</v>
      </c>
      <c r="AX124" s="1">
        <v>7</v>
      </c>
      <c r="AY124" s="1">
        <f t="shared" si="72"/>
        <v>1</v>
      </c>
      <c r="AZ124" s="1">
        <f t="shared" si="73"/>
        <v>6</v>
      </c>
      <c r="BA124" s="1">
        <f t="shared" si="74"/>
        <v>5</v>
      </c>
      <c r="BB124" s="1">
        <v>3</v>
      </c>
      <c r="BC124" s="1">
        <f t="shared" si="75"/>
        <v>13</v>
      </c>
      <c r="BD124" s="1">
        <f t="shared" si="76"/>
        <v>28</v>
      </c>
      <c r="BE124" s="1">
        <f t="shared" si="77"/>
        <v>14</v>
      </c>
      <c r="BF124" s="1"/>
      <c r="BG124" s="1"/>
      <c r="BH124" s="1"/>
      <c r="BI124" s="10"/>
      <c r="BJ124" s="10"/>
      <c r="BK124" s="10"/>
      <c r="BL124" s="10"/>
      <c r="BM124" s="10"/>
      <c r="BN124" s="10"/>
      <c r="BO124" s="10" t="s">
        <v>372</v>
      </c>
      <c r="BP124" s="10" t="s">
        <v>372</v>
      </c>
      <c r="BQ124" s="50"/>
      <c r="BR124" s="50">
        <f t="shared" si="54"/>
        <v>167</v>
      </c>
      <c r="BS124" s="51">
        <f t="shared" si="55"/>
        <v>27.833333333333332</v>
      </c>
      <c r="BT124" s="52" t="str">
        <f t="shared" si="53"/>
        <v>FAIL</v>
      </c>
      <c r="BU124" s="10"/>
    </row>
    <row r="125" spans="1:73" ht="18" customHeight="1" x14ac:dyDescent="0.25">
      <c r="A125" s="2">
        <v>120</v>
      </c>
      <c r="B125" s="5" t="s">
        <v>247</v>
      </c>
      <c r="C125" s="1">
        <v>11</v>
      </c>
      <c r="D125" s="1">
        <v>25</v>
      </c>
      <c r="E125" s="1">
        <v>13</v>
      </c>
      <c r="F125" s="1">
        <v>16</v>
      </c>
      <c r="G125" s="1">
        <v>52</v>
      </c>
      <c r="H125" s="1">
        <f t="shared" si="62"/>
        <v>117</v>
      </c>
      <c r="I125" s="1">
        <f t="shared" si="63"/>
        <v>59</v>
      </c>
      <c r="J125" s="10"/>
      <c r="K125" s="1">
        <v>12</v>
      </c>
      <c r="L125" s="1">
        <v>28</v>
      </c>
      <c r="M125" s="1">
        <v>8</v>
      </c>
      <c r="N125" s="1">
        <v>11</v>
      </c>
      <c r="O125" s="1">
        <v>40</v>
      </c>
      <c r="P125" s="1">
        <f t="shared" si="64"/>
        <v>99</v>
      </c>
      <c r="Q125" s="1">
        <f t="shared" si="65"/>
        <v>50</v>
      </c>
      <c r="R125" s="1"/>
      <c r="S125" s="59">
        <v>24</v>
      </c>
      <c r="T125" s="59">
        <v>41</v>
      </c>
      <c r="U125" s="59">
        <v>17</v>
      </c>
      <c r="V125" s="59">
        <v>16</v>
      </c>
      <c r="W125" s="59">
        <v>37</v>
      </c>
      <c r="X125" s="59">
        <f t="shared" si="66"/>
        <v>135</v>
      </c>
      <c r="Y125" s="59">
        <f t="shared" si="67"/>
        <v>68</v>
      </c>
      <c r="Z125" s="58"/>
      <c r="AA125" s="1">
        <v>18</v>
      </c>
      <c r="AB125" s="1">
        <v>29</v>
      </c>
      <c r="AC125" s="1">
        <v>14</v>
      </c>
      <c r="AD125" s="1">
        <v>18</v>
      </c>
      <c r="AE125" s="1">
        <v>37</v>
      </c>
      <c r="AF125" s="1">
        <f t="shared" si="68"/>
        <v>116</v>
      </c>
      <c r="AG125" s="1">
        <f t="shared" si="69"/>
        <v>58</v>
      </c>
      <c r="AH125" s="10"/>
      <c r="AI125" s="1">
        <v>22</v>
      </c>
      <c r="AJ125" s="1">
        <v>43</v>
      </c>
      <c r="AK125" s="1">
        <v>11</v>
      </c>
      <c r="AL125" s="1">
        <v>16</v>
      </c>
      <c r="AM125" s="1">
        <v>47</v>
      </c>
      <c r="AN125" s="1">
        <f t="shared" si="70"/>
        <v>139</v>
      </c>
      <c r="AO125" s="1">
        <f t="shared" si="71"/>
        <v>70</v>
      </c>
      <c r="AP125" s="10"/>
      <c r="AQ125" s="1">
        <v>12</v>
      </c>
      <c r="AR125" s="1">
        <v>9.5</v>
      </c>
      <c r="AS125" s="1">
        <v>6</v>
      </c>
      <c r="AT125" s="1">
        <v>8</v>
      </c>
      <c r="AU125" s="1">
        <v>12</v>
      </c>
      <c r="AV125" s="1">
        <v>21</v>
      </c>
      <c r="AW125" s="1">
        <v>5</v>
      </c>
      <c r="AX125" s="1">
        <v>20</v>
      </c>
      <c r="AY125" s="1">
        <f t="shared" si="72"/>
        <v>24</v>
      </c>
      <c r="AZ125" s="1">
        <f t="shared" si="73"/>
        <v>31</v>
      </c>
      <c r="BA125" s="1">
        <f t="shared" si="74"/>
        <v>11</v>
      </c>
      <c r="BB125" s="1">
        <v>12</v>
      </c>
      <c r="BC125" s="1">
        <f t="shared" si="75"/>
        <v>28</v>
      </c>
      <c r="BD125" s="1">
        <f t="shared" si="76"/>
        <v>106</v>
      </c>
      <c r="BE125" s="1">
        <f t="shared" si="77"/>
        <v>53</v>
      </c>
      <c r="BF125" s="1"/>
      <c r="BG125" s="1"/>
      <c r="BH125" s="1"/>
      <c r="BI125" s="10"/>
      <c r="BJ125" s="10"/>
      <c r="BK125" s="10"/>
      <c r="BL125" s="10"/>
      <c r="BM125" s="10"/>
      <c r="BN125" s="10"/>
      <c r="BO125" s="10" t="s">
        <v>371</v>
      </c>
      <c r="BP125" s="10" t="s">
        <v>371</v>
      </c>
      <c r="BQ125" s="50"/>
      <c r="BR125" s="50" t="s">
        <v>393</v>
      </c>
      <c r="BS125" s="51">
        <v>60</v>
      </c>
      <c r="BT125" s="52" t="str">
        <f t="shared" si="53"/>
        <v>GRADE I</v>
      </c>
      <c r="BU125" s="10"/>
    </row>
    <row r="1048576" spans="71:71" x14ac:dyDescent="0.25">
      <c r="BS1048576" s="4">
        <f>MAX(BS1:BS1048575)</f>
        <v>91</v>
      </c>
    </row>
  </sheetData>
  <mergeCells count="11">
    <mergeCell ref="BG3:BN3"/>
    <mergeCell ref="A1:AY1"/>
    <mergeCell ref="A2:AY2"/>
    <mergeCell ref="AQ3:AT3"/>
    <mergeCell ref="AU3:AX3"/>
    <mergeCell ref="AY3:BF3"/>
    <mergeCell ref="C3:J3"/>
    <mergeCell ref="S3:Z3"/>
    <mergeCell ref="AA3:AH3"/>
    <mergeCell ref="AI3:AP3"/>
    <mergeCell ref="K3:R3"/>
  </mergeCells>
  <conditionalFormatting sqref="I6:I125">
    <cfRule type="cellIs" dxfId="26" priority="7" operator="lessThan">
      <formula>35</formula>
    </cfRule>
  </conditionalFormatting>
  <conditionalFormatting sqref="Q5:Q125">
    <cfRule type="cellIs" dxfId="25" priority="6" operator="lessThan">
      <formula>35</formula>
    </cfRule>
  </conditionalFormatting>
  <conditionalFormatting sqref="AG5:AG125">
    <cfRule type="cellIs" dxfId="24" priority="4" operator="lessThan">
      <formula>35</formula>
    </cfRule>
  </conditionalFormatting>
  <conditionalFormatting sqref="AO5:AO125">
    <cfRule type="cellIs" dxfId="23" priority="3" operator="lessThan">
      <formula>35</formula>
    </cfRule>
  </conditionalFormatting>
  <conditionalFormatting sqref="BE6:BE125">
    <cfRule type="cellIs" dxfId="22" priority="2" operator="lessThan">
      <formula>35</formula>
    </cfRule>
  </conditionalFormatting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39"/>
  <sheetViews>
    <sheetView zoomScaleNormal="100" workbookViewId="0">
      <pane xSplit="2" ySplit="5" topLeftCell="AS13" activePane="bottomRight" state="frozen"/>
      <selection pane="topRight" activeCell="C1" sqref="C1"/>
      <selection pane="bottomLeft" activeCell="A6" sqref="A6"/>
      <selection pane="bottomRight" activeCell="A125" sqref="A125:XFD125"/>
    </sheetView>
  </sheetViews>
  <sheetFormatPr defaultRowHeight="15" x14ac:dyDescent="0.25"/>
  <cols>
    <col min="1" max="1" width="5.140625" style="4" customWidth="1"/>
    <col min="2" max="2" width="29.28515625" style="4" customWidth="1"/>
    <col min="3" max="6" width="5.7109375" style="4" customWidth="1"/>
    <col min="7" max="7" width="5.7109375" style="26" customWidth="1"/>
    <col min="8" max="10" width="5.7109375" style="4" customWidth="1"/>
    <col min="11" max="11" width="6.28515625" style="4" customWidth="1"/>
    <col min="12" max="12" width="6.42578125" style="4" customWidth="1"/>
    <col min="13" max="15" width="6.140625" style="4" customWidth="1"/>
    <col min="16" max="66" width="5.7109375" style="4" customWidth="1"/>
    <col min="67" max="71" width="6.7109375" style="4" customWidth="1"/>
    <col min="72" max="72" width="11.28515625" style="4" bestFit="1" customWidth="1"/>
    <col min="73" max="73" width="6.7109375" style="4" customWidth="1"/>
    <col min="74" max="16384" width="9.140625" style="4"/>
  </cols>
  <sheetData>
    <row r="1" spans="1:73" ht="15.75" x14ac:dyDescent="0.25">
      <c r="A1" s="165" t="s">
        <v>251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</row>
    <row r="2" spans="1:73" ht="15.75" x14ac:dyDescent="0.25">
      <c r="A2" s="165" t="s">
        <v>333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</row>
    <row r="3" spans="1:73" ht="30" customHeight="1" x14ac:dyDescent="0.25">
      <c r="C3" s="176" t="s">
        <v>2</v>
      </c>
      <c r="D3" s="177"/>
      <c r="E3" s="177"/>
      <c r="F3" s="177"/>
      <c r="G3" s="177"/>
      <c r="H3" s="177"/>
      <c r="I3" s="177"/>
      <c r="J3" s="178"/>
      <c r="K3" s="176" t="s">
        <v>249</v>
      </c>
      <c r="L3" s="177"/>
      <c r="M3" s="177"/>
      <c r="N3" s="177"/>
      <c r="O3" s="177"/>
      <c r="P3" s="177"/>
      <c r="Q3" s="177"/>
      <c r="R3" s="178"/>
      <c r="S3" s="176" t="s">
        <v>261</v>
      </c>
      <c r="T3" s="177"/>
      <c r="U3" s="177"/>
      <c r="V3" s="177"/>
      <c r="W3" s="177"/>
      <c r="X3" s="177"/>
      <c r="Y3" s="177"/>
      <c r="Z3" s="178"/>
      <c r="AA3" s="176" t="s">
        <v>4</v>
      </c>
      <c r="AB3" s="177"/>
      <c r="AC3" s="177"/>
      <c r="AD3" s="177"/>
      <c r="AE3" s="177"/>
      <c r="AF3" s="177"/>
      <c r="AG3" s="177"/>
      <c r="AH3" s="178"/>
      <c r="AI3" s="176" t="s">
        <v>5</v>
      </c>
      <c r="AJ3" s="177"/>
      <c r="AK3" s="178"/>
      <c r="AL3" s="29"/>
      <c r="AM3" s="29"/>
      <c r="AN3" s="29"/>
      <c r="AO3" s="29"/>
      <c r="AP3" s="29"/>
      <c r="AQ3" s="176" t="s">
        <v>6</v>
      </c>
      <c r="AR3" s="177"/>
      <c r="AS3" s="177"/>
      <c r="AT3" s="178"/>
      <c r="AU3" s="176" t="s">
        <v>7</v>
      </c>
      <c r="AV3" s="177"/>
      <c r="AW3" s="177"/>
      <c r="AX3" s="178"/>
      <c r="AY3" s="176" t="s">
        <v>8</v>
      </c>
      <c r="AZ3" s="177"/>
      <c r="BA3" s="177"/>
      <c r="BB3" s="177"/>
      <c r="BC3" s="177"/>
      <c r="BD3" s="177"/>
      <c r="BE3" s="177"/>
      <c r="BF3" s="178"/>
      <c r="BG3" s="175" t="s">
        <v>262</v>
      </c>
      <c r="BH3" s="175"/>
      <c r="BI3" s="175"/>
      <c r="BJ3" s="175"/>
      <c r="BK3" s="175"/>
      <c r="BL3" s="175"/>
      <c r="BM3" s="175"/>
      <c r="BN3" s="175"/>
    </row>
    <row r="4" spans="1:73" ht="66" customHeight="1" x14ac:dyDescent="0.25">
      <c r="A4" s="11" t="s">
        <v>0</v>
      </c>
      <c r="B4" s="11" t="s">
        <v>1</v>
      </c>
      <c r="C4" s="3" t="s">
        <v>278</v>
      </c>
      <c r="D4" s="3" t="s">
        <v>279</v>
      </c>
      <c r="E4" s="3" t="s">
        <v>280</v>
      </c>
      <c r="F4" s="3" t="s">
        <v>281</v>
      </c>
      <c r="G4" s="3" t="s">
        <v>282</v>
      </c>
      <c r="H4" s="3" t="s">
        <v>283</v>
      </c>
      <c r="I4" s="3" t="s">
        <v>284</v>
      </c>
      <c r="J4" s="37" t="s">
        <v>293</v>
      </c>
      <c r="K4" s="3" t="s">
        <v>343</v>
      </c>
      <c r="L4" s="3" t="s">
        <v>344</v>
      </c>
      <c r="M4" s="3" t="s">
        <v>345</v>
      </c>
      <c r="N4" s="3" t="s">
        <v>346</v>
      </c>
      <c r="O4" s="3" t="s">
        <v>347</v>
      </c>
      <c r="P4" s="38" t="s">
        <v>348</v>
      </c>
      <c r="Q4" s="36" t="s">
        <v>349</v>
      </c>
      <c r="R4" s="38" t="s">
        <v>350</v>
      </c>
      <c r="S4" s="3" t="s">
        <v>289</v>
      </c>
      <c r="T4" s="3" t="s">
        <v>290</v>
      </c>
      <c r="U4" s="3" t="s">
        <v>291</v>
      </c>
      <c r="V4" s="3" t="s">
        <v>285</v>
      </c>
      <c r="W4" s="3" t="s">
        <v>286</v>
      </c>
      <c r="X4" s="3" t="s">
        <v>287</v>
      </c>
      <c r="Y4" s="3" t="s">
        <v>288</v>
      </c>
      <c r="Z4" s="36" t="s">
        <v>295</v>
      </c>
      <c r="AA4" s="3" t="s">
        <v>297</v>
      </c>
      <c r="AB4" s="3" t="s">
        <v>298</v>
      </c>
      <c r="AC4" s="3" t="s">
        <v>299</v>
      </c>
      <c r="AD4" s="3" t="s">
        <v>296</v>
      </c>
      <c r="AE4" s="3" t="s">
        <v>300</v>
      </c>
      <c r="AF4" s="3" t="s">
        <v>301</v>
      </c>
      <c r="AG4" s="3" t="s">
        <v>302</v>
      </c>
      <c r="AH4" s="36" t="s">
        <v>303</v>
      </c>
      <c r="AI4" s="3" t="s">
        <v>326</v>
      </c>
      <c r="AJ4" s="3" t="s">
        <v>327</v>
      </c>
      <c r="AK4" s="3" t="s">
        <v>328</v>
      </c>
      <c r="AL4" s="3" t="s">
        <v>304</v>
      </c>
      <c r="AM4" s="3" t="s">
        <v>305</v>
      </c>
      <c r="AN4" s="3" t="s">
        <v>306</v>
      </c>
      <c r="AO4" s="3" t="s">
        <v>307</v>
      </c>
      <c r="AP4" s="36" t="s">
        <v>308</v>
      </c>
      <c r="AQ4" s="3" t="s">
        <v>329</v>
      </c>
      <c r="AR4" s="3" t="s">
        <v>330</v>
      </c>
      <c r="AS4" s="3" t="s">
        <v>331</v>
      </c>
      <c r="AT4" s="3" t="s">
        <v>311</v>
      </c>
      <c r="AU4" s="3" t="s">
        <v>314</v>
      </c>
      <c r="AV4" s="3" t="s">
        <v>313</v>
      </c>
      <c r="AW4" s="3" t="s">
        <v>315</v>
      </c>
      <c r="AX4" s="3" t="s">
        <v>312</v>
      </c>
      <c r="AY4" s="3" t="s">
        <v>316</v>
      </c>
      <c r="AZ4" s="3" t="s">
        <v>317</v>
      </c>
      <c r="BA4" s="3" t="s">
        <v>318</v>
      </c>
      <c r="BB4" s="3" t="s">
        <v>309</v>
      </c>
      <c r="BC4" s="3" t="s">
        <v>310</v>
      </c>
      <c r="BD4" s="3" t="s">
        <v>319</v>
      </c>
      <c r="BE4" s="3" t="s">
        <v>320</v>
      </c>
      <c r="BF4" s="39" t="s">
        <v>321</v>
      </c>
      <c r="BG4" s="3" t="s">
        <v>323</v>
      </c>
      <c r="BH4" s="3" t="s">
        <v>324</v>
      </c>
      <c r="BI4" s="3" t="s">
        <v>325</v>
      </c>
      <c r="BJ4" s="3" t="s">
        <v>322</v>
      </c>
      <c r="BK4" s="3" t="s">
        <v>310</v>
      </c>
      <c r="BL4" s="3" t="s">
        <v>319</v>
      </c>
      <c r="BM4" s="3" t="s">
        <v>320</v>
      </c>
      <c r="BN4" s="39" t="s">
        <v>321</v>
      </c>
      <c r="BO4" s="40" t="s">
        <v>334</v>
      </c>
      <c r="BP4" s="41" t="s">
        <v>335</v>
      </c>
      <c r="BQ4" s="42" t="s">
        <v>336</v>
      </c>
      <c r="BR4" s="42" t="s">
        <v>337</v>
      </c>
      <c r="BS4" s="42" t="s">
        <v>338</v>
      </c>
      <c r="BT4" s="43" t="s">
        <v>339</v>
      </c>
      <c r="BU4" s="43" t="s">
        <v>340</v>
      </c>
    </row>
    <row r="5" spans="1:73" ht="21.75" customHeight="1" x14ac:dyDescent="0.25">
      <c r="A5" s="11"/>
      <c r="B5" s="11"/>
      <c r="C5" s="3">
        <v>25</v>
      </c>
      <c r="D5" s="3">
        <v>50</v>
      </c>
      <c r="E5" s="3">
        <v>25</v>
      </c>
      <c r="F5" s="3">
        <v>20</v>
      </c>
      <c r="G5" s="3">
        <v>80</v>
      </c>
      <c r="H5" s="33">
        <v>200</v>
      </c>
      <c r="I5" s="33">
        <v>100</v>
      </c>
      <c r="J5" s="10"/>
      <c r="K5" s="3">
        <v>25</v>
      </c>
      <c r="L5" s="3">
        <v>50</v>
      </c>
      <c r="M5" s="3">
        <v>25</v>
      </c>
      <c r="N5" s="3">
        <v>20</v>
      </c>
      <c r="O5" s="3">
        <v>80</v>
      </c>
      <c r="P5" s="33">
        <v>200</v>
      </c>
      <c r="Q5" s="33">
        <v>100</v>
      </c>
      <c r="R5" s="33"/>
      <c r="S5" s="3">
        <v>25</v>
      </c>
      <c r="T5" s="3">
        <v>50</v>
      </c>
      <c r="U5" s="3">
        <v>25</v>
      </c>
      <c r="V5" s="3">
        <v>20</v>
      </c>
      <c r="W5" s="3">
        <v>80</v>
      </c>
      <c r="X5" s="33">
        <v>200</v>
      </c>
      <c r="Y5" s="33">
        <v>100</v>
      </c>
      <c r="Z5" s="10"/>
      <c r="AA5" s="3">
        <v>25</v>
      </c>
      <c r="AB5" s="3">
        <v>50</v>
      </c>
      <c r="AC5" s="3">
        <v>25</v>
      </c>
      <c r="AD5" s="3">
        <v>20</v>
      </c>
      <c r="AE5" s="3">
        <v>80</v>
      </c>
      <c r="AF5" s="33">
        <v>200</v>
      </c>
      <c r="AG5" s="33">
        <v>100</v>
      </c>
      <c r="AH5" s="10"/>
      <c r="AI5" s="3">
        <v>25</v>
      </c>
      <c r="AJ5" s="3">
        <v>50</v>
      </c>
      <c r="AK5" s="3">
        <v>25</v>
      </c>
      <c r="AL5" s="3">
        <v>20</v>
      </c>
      <c r="AM5" s="3">
        <v>80</v>
      </c>
      <c r="AN5" s="33">
        <v>200</v>
      </c>
      <c r="AO5" s="33">
        <v>100</v>
      </c>
      <c r="AP5" s="10"/>
      <c r="AQ5" s="3">
        <v>25</v>
      </c>
      <c r="AR5" s="3">
        <v>50</v>
      </c>
      <c r="AS5" s="3">
        <v>25</v>
      </c>
      <c r="AT5" s="3">
        <v>40</v>
      </c>
      <c r="AU5" s="3">
        <v>25</v>
      </c>
      <c r="AV5" s="3">
        <v>50</v>
      </c>
      <c r="AW5" s="3">
        <v>25</v>
      </c>
      <c r="AX5" s="3">
        <v>40</v>
      </c>
      <c r="AY5" s="3">
        <v>25</v>
      </c>
      <c r="AZ5" s="3">
        <v>50</v>
      </c>
      <c r="BA5" s="3">
        <v>25</v>
      </c>
      <c r="BB5" s="3">
        <v>20</v>
      </c>
      <c r="BC5" s="3">
        <v>80</v>
      </c>
      <c r="BD5" s="33">
        <v>200</v>
      </c>
      <c r="BE5" s="33">
        <v>100</v>
      </c>
      <c r="BF5" s="10"/>
      <c r="BG5" s="3">
        <v>25</v>
      </c>
      <c r="BH5" s="3">
        <v>50</v>
      </c>
      <c r="BI5" s="3">
        <v>25</v>
      </c>
      <c r="BJ5" s="3">
        <v>20</v>
      </c>
      <c r="BK5" s="3">
        <v>80</v>
      </c>
      <c r="BL5" s="33">
        <v>200</v>
      </c>
      <c r="BM5" s="33">
        <v>100</v>
      </c>
      <c r="BN5" s="10"/>
      <c r="BO5" s="45"/>
      <c r="BP5" s="43"/>
      <c r="BQ5" s="43"/>
      <c r="BR5" s="43"/>
      <c r="BS5" s="43"/>
      <c r="BT5" s="43"/>
      <c r="BU5" s="43"/>
    </row>
    <row r="6" spans="1:73" x14ac:dyDescent="0.25">
      <c r="A6" s="1">
        <v>1</v>
      </c>
      <c r="B6" s="12" t="s">
        <v>9</v>
      </c>
      <c r="C6" s="1">
        <v>3</v>
      </c>
      <c r="D6" s="1">
        <v>11</v>
      </c>
      <c r="E6" s="1">
        <v>11</v>
      </c>
      <c r="F6" s="1">
        <v>14</v>
      </c>
      <c r="G6" s="1">
        <v>51</v>
      </c>
      <c r="H6" s="1">
        <f>ROUND(SUM(C6:G6),0)</f>
        <v>90</v>
      </c>
      <c r="I6" s="1">
        <f t="shared" ref="I6:I70" si="0">ROUND(H6/2,0)</f>
        <v>45</v>
      </c>
      <c r="J6" s="1"/>
      <c r="K6" s="1">
        <v>11</v>
      </c>
      <c r="L6" s="1">
        <v>9</v>
      </c>
      <c r="M6" s="1">
        <v>7</v>
      </c>
      <c r="N6" s="1">
        <v>13</v>
      </c>
      <c r="O6" s="1">
        <v>23</v>
      </c>
      <c r="P6" s="1">
        <f>ROUND(SUM(K6:O6),0)</f>
        <v>63</v>
      </c>
      <c r="Q6" s="1">
        <f>ROUND(P6/2,0)</f>
        <v>32</v>
      </c>
      <c r="R6" s="1">
        <v>3</v>
      </c>
      <c r="S6" s="1">
        <v>15</v>
      </c>
      <c r="T6" s="1">
        <v>21</v>
      </c>
      <c r="U6" s="1">
        <v>10</v>
      </c>
      <c r="V6" s="1">
        <v>12</v>
      </c>
      <c r="W6" s="1">
        <v>37</v>
      </c>
      <c r="X6" s="1">
        <f>ROUND(SUM(S6:W6),0)</f>
        <v>95</v>
      </c>
      <c r="Y6" s="1">
        <f>ROUND(X6/2,0)</f>
        <v>48</v>
      </c>
      <c r="Z6" s="1"/>
      <c r="AA6" s="1">
        <v>21</v>
      </c>
      <c r="AB6" s="1">
        <v>15</v>
      </c>
      <c r="AC6" s="1">
        <v>7</v>
      </c>
      <c r="AD6" s="1">
        <v>11</v>
      </c>
      <c r="AE6" s="1">
        <v>20</v>
      </c>
      <c r="AF6" s="1">
        <f>ROUND(SUM(AA6:AE6),0)</f>
        <v>74</v>
      </c>
      <c r="AG6" s="1">
        <f>ROUND(AF6/2,0)</f>
        <v>37</v>
      </c>
      <c r="AH6" s="1"/>
      <c r="AI6" s="1">
        <v>11</v>
      </c>
      <c r="AJ6" s="1">
        <v>13</v>
      </c>
      <c r="AK6" s="1">
        <v>10</v>
      </c>
      <c r="AL6" s="1">
        <v>17</v>
      </c>
      <c r="AM6" s="1">
        <v>33</v>
      </c>
      <c r="AN6" s="1">
        <f>ROUND(SUM(AI6:AM6),0)</f>
        <v>84</v>
      </c>
      <c r="AO6" s="1">
        <f>ROUND(AN6/2,0)</f>
        <v>42</v>
      </c>
      <c r="AP6" s="1"/>
      <c r="AQ6" s="1">
        <v>6</v>
      </c>
      <c r="AR6" s="1">
        <v>1</v>
      </c>
      <c r="AS6" s="1">
        <v>3</v>
      </c>
      <c r="AT6" s="1">
        <v>20</v>
      </c>
      <c r="AU6" s="1">
        <v>4</v>
      </c>
      <c r="AV6" s="1">
        <v>6</v>
      </c>
      <c r="AW6" s="1">
        <v>1</v>
      </c>
      <c r="AX6" s="1">
        <v>10</v>
      </c>
      <c r="AY6" s="1">
        <f t="shared" ref="AY6:AY25" si="1">ROUND(SUM(AQ6,AU6),0)</f>
        <v>10</v>
      </c>
      <c r="AZ6" s="1">
        <f t="shared" ref="AZ6:AZ25" si="2">ROUND(SUM(AR6,AV6),0)</f>
        <v>7</v>
      </c>
      <c r="BA6" s="1">
        <f t="shared" ref="BA6:BA25" si="3">ROUND(SUM(AS6,AW6),0)</f>
        <v>4</v>
      </c>
      <c r="BB6" s="1">
        <v>7</v>
      </c>
      <c r="BC6" s="1">
        <f t="shared" ref="BC6:BC37" si="4">ROUND(AT6+AX6,0)</f>
        <v>30</v>
      </c>
      <c r="BD6" s="1">
        <f>ROUND(SUM(AY6:BC6),0)</f>
        <v>58</v>
      </c>
      <c r="BE6" s="1">
        <f>ROUND(BD6/2,0)</f>
        <v>29</v>
      </c>
      <c r="BF6" s="1">
        <v>6</v>
      </c>
      <c r="BG6" s="1"/>
      <c r="BH6" s="1"/>
      <c r="BI6" s="1"/>
      <c r="BJ6" s="1"/>
      <c r="BK6" s="1"/>
      <c r="BL6" s="1"/>
      <c r="BM6" s="1"/>
      <c r="BN6" s="1"/>
      <c r="BO6" s="1" t="s">
        <v>372</v>
      </c>
      <c r="BP6" s="1" t="s">
        <v>371</v>
      </c>
      <c r="BQ6" s="43">
        <f t="shared" ref="BQ6:BQ62" si="5">J6+R6+Z6+AH6+AP6+BF6</f>
        <v>9</v>
      </c>
      <c r="BR6" s="45">
        <f>ROUND(I6+Q6+Y6+AG6+AO6+BE6,0)</f>
        <v>233</v>
      </c>
      <c r="BS6" s="70">
        <f>BR6/6</f>
        <v>38.833333333333336</v>
      </c>
      <c r="BT6" s="45" t="s">
        <v>375</v>
      </c>
      <c r="BU6" s="1"/>
    </row>
    <row r="7" spans="1:73" x14ac:dyDescent="0.25">
      <c r="A7" s="1">
        <v>2</v>
      </c>
      <c r="B7" s="12" t="s">
        <v>10</v>
      </c>
      <c r="C7" s="1">
        <v>8</v>
      </c>
      <c r="D7" s="1">
        <v>22</v>
      </c>
      <c r="E7" s="1">
        <v>11</v>
      </c>
      <c r="F7" s="1">
        <v>12</v>
      </c>
      <c r="G7" s="1">
        <v>48</v>
      </c>
      <c r="H7" s="1">
        <f t="shared" ref="H7:H70" si="6">ROUND(SUM(C7:G7),0)</f>
        <v>101</v>
      </c>
      <c r="I7" s="1">
        <f t="shared" si="0"/>
        <v>51</v>
      </c>
      <c r="J7" s="1"/>
      <c r="K7" s="1">
        <v>14</v>
      </c>
      <c r="L7" s="1">
        <v>22</v>
      </c>
      <c r="M7" s="1">
        <v>12</v>
      </c>
      <c r="N7" s="1">
        <v>13</v>
      </c>
      <c r="O7" s="1">
        <v>53</v>
      </c>
      <c r="P7" s="1">
        <f t="shared" ref="P7:P70" si="7">ROUND(SUM(K7:O7),0)</f>
        <v>114</v>
      </c>
      <c r="Q7" s="1">
        <f t="shared" ref="Q7:Q70" si="8">ROUND(P7/2,0)</f>
        <v>57</v>
      </c>
      <c r="R7" s="1"/>
      <c r="S7" s="1">
        <v>24</v>
      </c>
      <c r="T7" s="1">
        <v>39</v>
      </c>
      <c r="U7" s="1">
        <v>16</v>
      </c>
      <c r="V7" s="1">
        <v>16</v>
      </c>
      <c r="W7" s="1">
        <v>67</v>
      </c>
      <c r="X7" s="1">
        <f t="shared" ref="X7:X70" si="9">ROUND(SUM(S7:W7),0)</f>
        <v>162</v>
      </c>
      <c r="Y7" s="1">
        <f t="shared" ref="Y7:Y70" si="10">ROUND(X7/2,0)</f>
        <v>81</v>
      </c>
      <c r="Z7" s="1"/>
      <c r="AA7" s="1">
        <v>22</v>
      </c>
      <c r="AB7" s="1">
        <v>33</v>
      </c>
      <c r="AC7" s="1">
        <v>9</v>
      </c>
      <c r="AD7" s="1">
        <v>16</v>
      </c>
      <c r="AE7" s="1">
        <v>45</v>
      </c>
      <c r="AF7" s="1">
        <f t="shared" ref="AF7:AF70" si="11">ROUND(SUM(AA7:AE7),0)</f>
        <v>125</v>
      </c>
      <c r="AG7" s="1">
        <f t="shared" ref="AG7:AG70" si="12">ROUND(AF7/2,0)</f>
        <v>63</v>
      </c>
      <c r="AH7" s="1"/>
      <c r="AI7" s="1">
        <v>25</v>
      </c>
      <c r="AJ7" s="1">
        <v>42</v>
      </c>
      <c r="AK7" s="1">
        <v>19</v>
      </c>
      <c r="AL7" s="1">
        <v>20</v>
      </c>
      <c r="AM7" s="1">
        <v>51</v>
      </c>
      <c r="AN7" s="1">
        <f t="shared" ref="AN7:AN70" si="13">ROUND(SUM(AI7:AM7),0)</f>
        <v>157</v>
      </c>
      <c r="AO7" s="1">
        <f t="shared" ref="AO7:AO70" si="14">ROUND(AN7/2,0)</f>
        <v>79</v>
      </c>
      <c r="AP7" s="1"/>
      <c r="AQ7" s="1">
        <v>9</v>
      </c>
      <c r="AR7" s="1">
        <v>16</v>
      </c>
      <c r="AS7" s="1">
        <v>11</v>
      </c>
      <c r="AT7" s="1">
        <v>28</v>
      </c>
      <c r="AU7" s="1">
        <v>4</v>
      </c>
      <c r="AV7" s="1">
        <v>19</v>
      </c>
      <c r="AW7" s="1">
        <v>8</v>
      </c>
      <c r="AX7" s="1">
        <v>17</v>
      </c>
      <c r="AY7" s="1">
        <f t="shared" si="1"/>
        <v>13</v>
      </c>
      <c r="AZ7" s="1">
        <f t="shared" si="2"/>
        <v>35</v>
      </c>
      <c r="BA7" s="1">
        <f t="shared" si="3"/>
        <v>19</v>
      </c>
      <c r="BB7" s="1">
        <v>15</v>
      </c>
      <c r="BC7" s="1">
        <f t="shared" si="4"/>
        <v>45</v>
      </c>
      <c r="BD7" s="1">
        <f t="shared" ref="BD7:BD70" si="15">ROUND(SUM(AY7:BC7),0)</f>
        <v>127</v>
      </c>
      <c r="BE7" s="1">
        <f>ROUND(BD7/2,0)</f>
        <v>64</v>
      </c>
      <c r="BF7" s="1"/>
      <c r="BG7" s="1"/>
      <c r="BH7" s="1"/>
      <c r="BI7" s="1"/>
      <c r="BJ7" s="1"/>
      <c r="BK7" s="1"/>
      <c r="BL7" s="1"/>
      <c r="BM7" s="1"/>
      <c r="BN7" s="1"/>
      <c r="BO7" s="1" t="s">
        <v>371</v>
      </c>
      <c r="BP7" s="1" t="s">
        <v>371</v>
      </c>
      <c r="BQ7" s="43">
        <f t="shared" si="5"/>
        <v>0</v>
      </c>
      <c r="BR7" s="45">
        <f t="shared" ref="BR7:BR70" si="16">ROUND(I7+Q7+Y7+AG7+AO7+BE7,0)</f>
        <v>395</v>
      </c>
      <c r="BS7" s="70">
        <f t="shared" ref="BS7:BS70" si="17">BR7/6</f>
        <v>65.833333333333329</v>
      </c>
      <c r="BT7" s="45" t="str">
        <f t="shared" ref="BT7:BT69" si="18">IF(BS7&gt;=75,"GRADE I with Distinction",IF(BS7&gt;=60,"GRADE I",IF(BS7&gt;=45,"GRADE II",IF(BS7&gt;=35,"PASS","FAIL"))))</f>
        <v>GRADE I</v>
      </c>
      <c r="BU7" s="1"/>
    </row>
    <row r="8" spans="1:73" x14ac:dyDescent="0.25">
      <c r="A8" s="1">
        <v>3</v>
      </c>
      <c r="B8" s="10" t="s">
        <v>11</v>
      </c>
      <c r="C8" s="1">
        <v>9</v>
      </c>
      <c r="D8" s="1">
        <v>11</v>
      </c>
      <c r="E8" s="1">
        <v>10</v>
      </c>
      <c r="F8" s="1">
        <v>14</v>
      </c>
      <c r="G8" s="1">
        <v>36</v>
      </c>
      <c r="H8" s="1">
        <f t="shared" si="6"/>
        <v>80</v>
      </c>
      <c r="I8" s="1">
        <f t="shared" si="0"/>
        <v>40</v>
      </c>
      <c r="J8" s="1"/>
      <c r="K8" s="1">
        <v>14</v>
      </c>
      <c r="L8" s="1">
        <v>18</v>
      </c>
      <c r="M8" s="1">
        <v>11</v>
      </c>
      <c r="N8" s="1">
        <v>15</v>
      </c>
      <c r="O8" s="1">
        <v>29</v>
      </c>
      <c r="P8" s="1">
        <f t="shared" si="7"/>
        <v>87</v>
      </c>
      <c r="Q8" s="1">
        <f t="shared" si="8"/>
        <v>44</v>
      </c>
      <c r="R8" s="1"/>
      <c r="S8" s="1">
        <v>15</v>
      </c>
      <c r="T8" s="1">
        <v>23</v>
      </c>
      <c r="U8" s="1">
        <v>16</v>
      </c>
      <c r="V8" s="1">
        <v>11</v>
      </c>
      <c r="W8" s="1">
        <v>44</v>
      </c>
      <c r="X8" s="1">
        <f t="shared" si="9"/>
        <v>109</v>
      </c>
      <c r="Y8" s="1">
        <f t="shared" si="10"/>
        <v>55</v>
      </c>
      <c r="Z8" s="1"/>
      <c r="AA8" s="1">
        <v>10</v>
      </c>
      <c r="AB8" s="1">
        <v>12</v>
      </c>
      <c r="AC8" s="1">
        <v>7</v>
      </c>
      <c r="AD8" s="1">
        <v>8</v>
      </c>
      <c r="AE8" s="1">
        <v>27</v>
      </c>
      <c r="AF8" s="1">
        <f t="shared" si="11"/>
        <v>64</v>
      </c>
      <c r="AG8" s="1">
        <f t="shared" si="12"/>
        <v>32</v>
      </c>
      <c r="AH8" s="1">
        <v>3</v>
      </c>
      <c r="AI8" s="1">
        <v>13</v>
      </c>
      <c r="AJ8" s="1">
        <v>21</v>
      </c>
      <c r="AK8" s="1">
        <v>7</v>
      </c>
      <c r="AL8" s="1">
        <v>18</v>
      </c>
      <c r="AM8" s="1">
        <v>41</v>
      </c>
      <c r="AN8" s="1">
        <f t="shared" si="13"/>
        <v>100</v>
      </c>
      <c r="AO8" s="1">
        <f t="shared" si="14"/>
        <v>50</v>
      </c>
      <c r="AP8" s="1"/>
      <c r="AQ8" s="1">
        <v>7</v>
      </c>
      <c r="AR8" s="1">
        <v>1</v>
      </c>
      <c r="AS8" s="1">
        <v>4</v>
      </c>
      <c r="AT8" s="1">
        <v>19</v>
      </c>
      <c r="AU8" s="1">
        <v>2</v>
      </c>
      <c r="AV8" s="1">
        <v>4</v>
      </c>
      <c r="AW8" s="1">
        <v>4</v>
      </c>
      <c r="AX8" s="1">
        <v>13</v>
      </c>
      <c r="AY8" s="1">
        <f t="shared" si="1"/>
        <v>9</v>
      </c>
      <c r="AZ8" s="1">
        <f t="shared" si="2"/>
        <v>5</v>
      </c>
      <c r="BA8" s="1">
        <f t="shared" si="3"/>
        <v>8</v>
      </c>
      <c r="BB8" s="1">
        <v>6</v>
      </c>
      <c r="BC8" s="1">
        <f t="shared" si="4"/>
        <v>32</v>
      </c>
      <c r="BD8" s="1">
        <f t="shared" si="15"/>
        <v>60</v>
      </c>
      <c r="BE8" s="1">
        <f t="shared" ref="BE8:BE71" si="19">ROUND(BD8/2,0)</f>
        <v>30</v>
      </c>
      <c r="BF8" s="1">
        <v>5</v>
      </c>
      <c r="BG8" s="1"/>
      <c r="BH8" s="1"/>
      <c r="BI8" s="1"/>
      <c r="BJ8" s="1"/>
      <c r="BK8" s="1"/>
      <c r="BL8" s="1"/>
      <c r="BM8" s="1"/>
      <c r="BN8" s="1"/>
      <c r="BO8" s="1" t="s">
        <v>371</v>
      </c>
      <c r="BP8" s="1" t="s">
        <v>372</v>
      </c>
      <c r="BQ8" s="43">
        <f t="shared" si="5"/>
        <v>8</v>
      </c>
      <c r="BR8" s="45">
        <f t="shared" si="16"/>
        <v>251</v>
      </c>
      <c r="BS8" s="70">
        <f t="shared" si="17"/>
        <v>41.833333333333336</v>
      </c>
      <c r="BT8" s="45" t="s">
        <v>375</v>
      </c>
      <c r="BU8" s="1"/>
    </row>
    <row r="9" spans="1:73" x14ac:dyDescent="0.25">
      <c r="A9" s="1">
        <v>4</v>
      </c>
      <c r="B9" s="12" t="s">
        <v>12</v>
      </c>
      <c r="C9" s="1">
        <v>5</v>
      </c>
      <c r="D9" s="1">
        <v>19</v>
      </c>
      <c r="E9" s="1" t="s">
        <v>248</v>
      </c>
      <c r="F9" s="1">
        <v>12</v>
      </c>
      <c r="G9" s="1">
        <v>43</v>
      </c>
      <c r="H9" s="1">
        <f t="shared" si="6"/>
        <v>79</v>
      </c>
      <c r="I9" s="1">
        <f t="shared" si="0"/>
        <v>40</v>
      </c>
      <c r="J9" s="1"/>
      <c r="K9" s="1">
        <v>6</v>
      </c>
      <c r="L9" s="1">
        <v>11</v>
      </c>
      <c r="M9" s="1">
        <v>6</v>
      </c>
      <c r="N9" s="1">
        <v>14</v>
      </c>
      <c r="O9" s="1">
        <v>18</v>
      </c>
      <c r="P9" s="1">
        <f t="shared" si="7"/>
        <v>55</v>
      </c>
      <c r="Q9" s="1">
        <f t="shared" si="8"/>
        <v>28</v>
      </c>
      <c r="R9" s="1">
        <v>7</v>
      </c>
      <c r="S9" s="1">
        <v>13</v>
      </c>
      <c r="T9" s="1">
        <v>33</v>
      </c>
      <c r="U9" s="1" t="s">
        <v>248</v>
      </c>
      <c r="V9" s="1">
        <v>16</v>
      </c>
      <c r="W9" s="1">
        <v>42</v>
      </c>
      <c r="X9" s="1">
        <f t="shared" si="9"/>
        <v>104</v>
      </c>
      <c r="Y9" s="1">
        <f t="shared" si="10"/>
        <v>52</v>
      </c>
      <c r="Z9" s="1"/>
      <c r="AA9" s="1">
        <v>13</v>
      </c>
      <c r="AB9" s="1">
        <v>19</v>
      </c>
      <c r="AC9" s="1">
        <v>7</v>
      </c>
      <c r="AD9" s="1">
        <v>15</v>
      </c>
      <c r="AE9" s="1">
        <v>20</v>
      </c>
      <c r="AF9" s="1">
        <f t="shared" si="11"/>
        <v>74</v>
      </c>
      <c r="AG9" s="1">
        <f t="shared" si="12"/>
        <v>37</v>
      </c>
      <c r="AH9" s="1"/>
      <c r="AI9" s="1">
        <v>9</v>
      </c>
      <c r="AJ9" s="1">
        <v>23</v>
      </c>
      <c r="AK9" s="1">
        <v>3</v>
      </c>
      <c r="AL9" s="1">
        <v>16</v>
      </c>
      <c r="AM9" s="1">
        <v>36</v>
      </c>
      <c r="AN9" s="1">
        <f t="shared" si="13"/>
        <v>87</v>
      </c>
      <c r="AO9" s="1">
        <f t="shared" si="14"/>
        <v>44</v>
      </c>
      <c r="AP9" s="1"/>
      <c r="AQ9" s="1">
        <v>6</v>
      </c>
      <c r="AR9" s="1">
        <v>3</v>
      </c>
      <c r="AS9" s="1">
        <v>2</v>
      </c>
      <c r="AT9" s="1">
        <v>13</v>
      </c>
      <c r="AU9" s="1">
        <v>4</v>
      </c>
      <c r="AV9" s="1">
        <v>6</v>
      </c>
      <c r="AW9" s="1">
        <v>6.5</v>
      </c>
      <c r="AX9" s="1">
        <v>15</v>
      </c>
      <c r="AY9" s="1">
        <f t="shared" si="1"/>
        <v>10</v>
      </c>
      <c r="AZ9" s="1">
        <f t="shared" si="2"/>
        <v>9</v>
      </c>
      <c r="BA9" s="1">
        <f t="shared" si="3"/>
        <v>9</v>
      </c>
      <c r="BB9" s="1">
        <v>9</v>
      </c>
      <c r="BC9" s="1">
        <f t="shared" si="4"/>
        <v>28</v>
      </c>
      <c r="BD9" s="1">
        <f t="shared" si="15"/>
        <v>65</v>
      </c>
      <c r="BE9" s="1">
        <f t="shared" si="19"/>
        <v>33</v>
      </c>
      <c r="BF9" s="1">
        <v>2</v>
      </c>
      <c r="BG9" s="1"/>
      <c r="BH9" s="1"/>
      <c r="BI9" s="1"/>
      <c r="BJ9" s="1"/>
      <c r="BK9" s="1"/>
      <c r="BL9" s="1"/>
      <c r="BM9" s="1"/>
      <c r="BN9" s="1"/>
      <c r="BO9" s="1" t="s">
        <v>371</v>
      </c>
      <c r="BP9" s="1" t="s">
        <v>371</v>
      </c>
      <c r="BQ9" s="43">
        <f t="shared" si="5"/>
        <v>9</v>
      </c>
      <c r="BR9" s="45">
        <f t="shared" si="16"/>
        <v>234</v>
      </c>
      <c r="BS9" s="70">
        <f t="shared" si="17"/>
        <v>39</v>
      </c>
      <c r="BT9" s="45" t="s">
        <v>375</v>
      </c>
      <c r="BU9" s="1"/>
    </row>
    <row r="10" spans="1:73" x14ac:dyDescent="0.25">
      <c r="A10" s="1">
        <v>5</v>
      </c>
      <c r="B10" s="12" t="s">
        <v>13</v>
      </c>
      <c r="C10" s="1">
        <v>6</v>
      </c>
      <c r="D10" s="1">
        <v>15</v>
      </c>
      <c r="E10" s="1">
        <v>11</v>
      </c>
      <c r="F10" s="1">
        <v>12</v>
      </c>
      <c r="G10" s="1">
        <v>33</v>
      </c>
      <c r="H10" s="1">
        <f t="shared" si="6"/>
        <v>77</v>
      </c>
      <c r="I10" s="1">
        <f t="shared" si="0"/>
        <v>39</v>
      </c>
      <c r="J10" s="1"/>
      <c r="K10" s="1">
        <v>5</v>
      </c>
      <c r="L10" s="1">
        <v>21</v>
      </c>
      <c r="M10" s="1">
        <v>8</v>
      </c>
      <c r="N10" s="1">
        <v>14</v>
      </c>
      <c r="O10" s="1">
        <v>32</v>
      </c>
      <c r="P10" s="1">
        <f t="shared" si="7"/>
        <v>80</v>
      </c>
      <c r="Q10" s="1">
        <f t="shared" si="8"/>
        <v>40</v>
      </c>
      <c r="R10" s="1"/>
      <c r="S10" s="1">
        <v>7</v>
      </c>
      <c r="T10" s="1">
        <v>23</v>
      </c>
      <c r="U10" s="1">
        <v>7</v>
      </c>
      <c r="V10" s="1">
        <v>16</v>
      </c>
      <c r="W10" s="1">
        <v>28</v>
      </c>
      <c r="X10" s="1">
        <f t="shared" si="9"/>
        <v>81</v>
      </c>
      <c r="Y10" s="1">
        <f t="shared" si="10"/>
        <v>41</v>
      </c>
      <c r="Z10" s="1"/>
      <c r="AA10" s="1">
        <v>13</v>
      </c>
      <c r="AB10" s="1">
        <v>17</v>
      </c>
      <c r="AC10" s="1">
        <v>9</v>
      </c>
      <c r="AD10" s="1">
        <v>9</v>
      </c>
      <c r="AE10" s="1">
        <v>24</v>
      </c>
      <c r="AF10" s="1">
        <f t="shared" si="11"/>
        <v>72</v>
      </c>
      <c r="AG10" s="1">
        <f t="shared" si="12"/>
        <v>36</v>
      </c>
      <c r="AH10" s="1"/>
      <c r="AI10" s="1">
        <v>5</v>
      </c>
      <c r="AJ10" s="1">
        <v>17</v>
      </c>
      <c r="AK10" s="1">
        <v>8</v>
      </c>
      <c r="AL10" s="1">
        <v>15</v>
      </c>
      <c r="AM10" s="1">
        <v>34</v>
      </c>
      <c r="AN10" s="1">
        <f t="shared" si="13"/>
        <v>79</v>
      </c>
      <c r="AO10" s="1">
        <f t="shared" si="14"/>
        <v>40</v>
      </c>
      <c r="AP10" s="1"/>
      <c r="AQ10" s="1">
        <v>5</v>
      </c>
      <c r="AR10" s="1">
        <v>7</v>
      </c>
      <c r="AS10" s="1">
        <v>3</v>
      </c>
      <c r="AT10" s="1">
        <v>10</v>
      </c>
      <c r="AU10" s="1">
        <v>3</v>
      </c>
      <c r="AV10" s="1">
        <v>6</v>
      </c>
      <c r="AW10" s="1">
        <v>4.5</v>
      </c>
      <c r="AX10" s="1">
        <v>12</v>
      </c>
      <c r="AY10" s="1">
        <f t="shared" si="1"/>
        <v>8</v>
      </c>
      <c r="AZ10" s="1">
        <f t="shared" si="2"/>
        <v>13</v>
      </c>
      <c r="BA10" s="1">
        <f t="shared" si="3"/>
        <v>8</v>
      </c>
      <c r="BB10" s="1">
        <v>8</v>
      </c>
      <c r="BC10" s="1">
        <f t="shared" si="4"/>
        <v>22</v>
      </c>
      <c r="BD10" s="1">
        <f t="shared" si="15"/>
        <v>59</v>
      </c>
      <c r="BE10" s="1">
        <f t="shared" si="19"/>
        <v>30</v>
      </c>
      <c r="BF10" s="1">
        <v>5</v>
      </c>
      <c r="BG10" s="1"/>
      <c r="BH10" s="1"/>
      <c r="BI10" s="1"/>
      <c r="BJ10" s="1"/>
      <c r="BK10" s="1"/>
      <c r="BL10" s="1"/>
      <c r="BM10" s="1"/>
      <c r="BN10" s="1"/>
      <c r="BO10" s="1" t="s">
        <v>372</v>
      </c>
      <c r="BP10" s="1" t="s">
        <v>372</v>
      </c>
      <c r="BQ10" s="43">
        <f t="shared" si="5"/>
        <v>5</v>
      </c>
      <c r="BR10" s="45">
        <f t="shared" si="16"/>
        <v>226</v>
      </c>
      <c r="BS10" s="70">
        <f t="shared" si="17"/>
        <v>37.666666666666664</v>
      </c>
      <c r="BT10" s="45" t="s">
        <v>375</v>
      </c>
      <c r="BU10" s="1"/>
    </row>
    <row r="11" spans="1:73" x14ac:dyDescent="0.25">
      <c r="A11" s="1">
        <v>6</v>
      </c>
      <c r="B11" s="12" t="s">
        <v>14</v>
      </c>
      <c r="C11" s="1">
        <v>12</v>
      </c>
      <c r="D11" s="1">
        <v>26</v>
      </c>
      <c r="E11" s="1">
        <v>17</v>
      </c>
      <c r="F11" s="1">
        <v>18</v>
      </c>
      <c r="G11" s="1">
        <v>61</v>
      </c>
      <c r="H11" s="1">
        <f t="shared" si="6"/>
        <v>134</v>
      </c>
      <c r="I11" s="1">
        <f t="shared" si="0"/>
        <v>67</v>
      </c>
      <c r="J11" s="1"/>
      <c r="K11" s="1">
        <v>9</v>
      </c>
      <c r="L11" s="1">
        <v>28</v>
      </c>
      <c r="M11" s="1">
        <v>14</v>
      </c>
      <c r="N11" s="1">
        <v>12</v>
      </c>
      <c r="O11" s="1">
        <v>51</v>
      </c>
      <c r="P11" s="1">
        <f t="shared" si="7"/>
        <v>114</v>
      </c>
      <c r="Q11" s="1">
        <f t="shared" si="8"/>
        <v>57</v>
      </c>
      <c r="R11" s="1"/>
      <c r="S11" s="1">
        <v>16</v>
      </c>
      <c r="T11" s="1">
        <v>47</v>
      </c>
      <c r="U11" s="1">
        <v>13</v>
      </c>
      <c r="V11" s="1">
        <v>17</v>
      </c>
      <c r="W11" s="1">
        <v>66</v>
      </c>
      <c r="X11" s="1">
        <f t="shared" si="9"/>
        <v>159</v>
      </c>
      <c r="Y11" s="1">
        <f t="shared" si="10"/>
        <v>80</v>
      </c>
      <c r="Z11" s="1"/>
      <c r="AA11" s="1">
        <v>21</v>
      </c>
      <c r="AB11" s="1">
        <v>31</v>
      </c>
      <c r="AC11" s="1">
        <v>12</v>
      </c>
      <c r="AD11" s="1">
        <v>16</v>
      </c>
      <c r="AE11" s="1">
        <v>41</v>
      </c>
      <c r="AF11" s="1">
        <f t="shared" si="11"/>
        <v>121</v>
      </c>
      <c r="AG11" s="1">
        <f t="shared" si="12"/>
        <v>61</v>
      </c>
      <c r="AH11" s="1"/>
      <c r="AI11" s="1">
        <v>13</v>
      </c>
      <c r="AJ11" s="1">
        <v>43</v>
      </c>
      <c r="AK11" s="1">
        <v>14</v>
      </c>
      <c r="AL11" s="1">
        <v>17</v>
      </c>
      <c r="AM11" s="1">
        <v>59</v>
      </c>
      <c r="AN11" s="1">
        <f t="shared" si="13"/>
        <v>146</v>
      </c>
      <c r="AO11" s="1">
        <f t="shared" si="14"/>
        <v>73</v>
      </c>
      <c r="AP11" s="1"/>
      <c r="AQ11" s="1">
        <v>12</v>
      </c>
      <c r="AR11" s="1">
        <v>14</v>
      </c>
      <c r="AS11" s="1">
        <v>5</v>
      </c>
      <c r="AT11" s="1">
        <v>20</v>
      </c>
      <c r="AU11" s="1">
        <v>1</v>
      </c>
      <c r="AV11" s="1">
        <v>21</v>
      </c>
      <c r="AW11" s="1">
        <v>4.5</v>
      </c>
      <c r="AX11" s="1">
        <v>15</v>
      </c>
      <c r="AY11" s="1">
        <f t="shared" si="1"/>
        <v>13</v>
      </c>
      <c r="AZ11" s="1">
        <f t="shared" si="2"/>
        <v>35</v>
      </c>
      <c r="BA11" s="1">
        <f t="shared" si="3"/>
        <v>10</v>
      </c>
      <c r="BB11" s="1">
        <v>3</v>
      </c>
      <c r="BC11" s="1">
        <f t="shared" si="4"/>
        <v>35</v>
      </c>
      <c r="BD11" s="1">
        <f t="shared" si="15"/>
        <v>96</v>
      </c>
      <c r="BE11" s="1">
        <f t="shared" si="19"/>
        <v>48</v>
      </c>
      <c r="BF11" s="1"/>
      <c r="BG11" s="1"/>
      <c r="BH11" s="1"/>
      <c r="BI11" s="1"/>
      <c r="BJ11" s="1"/>
      <c r="BK11" s="1"/>
      <c r="BL11" s="1"/>
      <c r="BM11" s="1"/>
      <c r="BN11" s="1"/>
      <c r="BO11" s="1" t="s">
        <v>371</v>
      </c>
      <c r="BP11" s="1" t="s">
        <v>372</v>
      </c>
      <c r="BQ11" s="43">
        <f t="shared" si="5"/>
        <v>0</v>
      </c>
      <c r="BR11" s="45">
        <f t="shared" si="16"/>
        <v>386</v>
      </c>
      <c r="BS11" s="70">
        <f t="shared" si="17"/>
        <v>64.333333333333329</v>
      </c>
      <c r="BT11" s="45" t="str">
        <f t="shared" si="18"/>
        <v>GRADE I</v>
      </c>
      <c r="BU11" s="1"/>
    </row>
    <row r="12" spans="1:73" x14ac:dyDescent="0.25">
      <c r="A12" s="1">
        <v>7</v>
      </c>
      <c r="B12" s="12" t="s">
        <v>15</v>
      </c>
      <c r="C12" s="1">
        <v>6</v>
      </c>
      <c r="D12" s="1">
        <v>15</v>
      </c>
      <c r="E12" s="1">
        <v>11</v>
      </c>
      <c r="F12" s="1">
        <v>16</v>
      </c>
      <c r="G12" s="1">
        <v>45</v>
      </c>
      <c r="H12" s="1">
        <f t="shared" si="6"/>
        <v>93</v>
      </c>
      <c r="I12" s="1">
        <f t="shared" si="0"/>
        <v>47</v>
      </c>
      <c r="J12" s="1"/>
      <c r="K12" s="1">
        <v>11</v>
      </c>
      <c r="L12" s="1">
        <v>22</v>
      </c>
      <c r="M12" s="1">
        <v>13</v>
      </c>
      <c r="N12" s="1">
        <v>15</v>
      </c>
      <c r="O12" s="1">
        <v>43</v>
      </c>
      <c r="P12" s="1">
        <f t="shared" si="7"/>
        <v>104</v>
      </c>
      <c r="Q12" s="1">
        <f t="shared" si="8"/>
        <v>52</v>
      </c>
      <c r="R12" s="1"/>
      <c r="S12" s="1">
        <v>13</v>
      </c>
      <c r="T12" s="1">
        <v>30</v>
      </c>
      <c r="U12" s="1">
        <v>5</v>
      </c>
      <c r="V12" s="1">
        <v>18</v>
      </c>
      <c r="W12" s="1">
        <v>41</v>
      </c>
      <c r="X12" s="1">
        <f t="shared" si="9"/>
        <v>107</v>
      </c>
      <c r="Y12" s="1">
        <f t="shared" si="10"/>
        <v>54</v>
      </c>
      <c r="Z12" s="1"/>
      <c r="AA12" s="1">
        <v>14</v>
      </c>
      <c r="AB12" s="1">
        <v>18</v>
      </c>
      <c r="AC12" s="1">
        <v>10</v>
      </c>
      <c r="AD12" s="1">
        <v>15</v>
      </c>
      <c r="AE12" s="1">
        <v>23</v>
      </c>
      <c r="AF12" s="1">
        <f t="shared" si="11"/>
        <v>80</v>
      </c>
      <c r="AG12" s="1">
        <f t="shared" si="12"/>
        <v>40</v>
      </c>
      <c r="AH12" s="1"/>
      <c r="AI12" s="1">
        <v>10</v>
      </c>
      <c r="AJ12" s="1">
        <v>18</v>
      </c>
      <c r="AK12" s="1">
        <v>6</v>
      </c>
      <c r="AL12" s="1">
        <v>19</v>
      </c>
      <c r="AM12" s="1">
        <v>41</v>
      </c>
      <c r="AN12" s="1">
        <f t="shared" si="13"/>
        <v>94</v>
      </c>
      <c r="AO12" s="1">
        <f t="shared" si="14"/>
        <v>47</v>
      </c>
      <c r="AP12" s="1"/>
      <c r="AQ12" s="1">
        <v>8</v>
      </c>
      <c r="AR12" s="1">
        <v>9</v>
      </c>
      <c r="AS12" s="1">
        <v>3</v>
      </c>
      <c r="AT12" s="1">
        <v>17</v>
      </c>
      <c r="AU12" s="1">
        <v>1</v>
      </c>
      <c r="AV12" s="1">
        <v>6</v>
      </c>
      <c r="AW12" s="1">
        <v>3.5</v>
      </c>
      <c r="AX12" s="1">
        <v>16</v>
      </c>
      <c r="AY12" s="1">
        <f t="shared" si="1"/>
        <v>9</v>
      </c>
      <c r="AZ12" s="1">
        <f t="shared" si="2"/>
        <v>15</v>
      </c>
      <c r="BA12" s="1">
        <f t="shared" si="3"/>
        <v>7</v>
      </c>
      <c r="BB12" s="1">
        <v>8</v>
      </c>
      <c r="BC12" s="1">
        <f t="shared" si="4"/>
        <v>33</v>
      </c>
      <c r="BD12" s="1">
        <f t="shared" si="15"/>
        <v>72</v>
      </c>
      <c r="BE12" s="1">
        <f t="shared" si="19"/>
        <v>36</v>
      </c>
      <c r="BF12" s="1"/>
      <c r="BG12" s="1"/>
      <c r="BH12" s="1"/>
      <c r="BI12" s="1"/>
      <c r="BJ12" s="1"/>
      <c r="BK12" s="1"/>
      <c r="BL12" s="1"/>
      <c r="BM12" s="1"/>
      <c r="BN12" s="1"/>
      <c r="BO12" s="1" t="s">
        <v>371</v>
      </c>
      <c r="BP12" s="1" t="s">
        <v>371</v>
      </c>
      <c r="BQ12" s="43">
        <f t="shared" si="5"/>
        <v>0</v>
      </c>
      <c r="BR12" s="45">
        <f t="shared" si="16"/>
        <v>276</v>
      </c>
      <c r="BS12" s="70">
        <f t="shared" si="17"/>
        <v>46</v>
      </c>
      <c r="BT12" s="45" t="str">
        <f t="shared" si="18"/>
        <v>GRADE II</v>
      </c>
      <c r="BU12" s="1"/>
    </row>
    <row r="13" spans="1:73" x14ac:dyDescent="0.25">
      <c r="A13" s="1">
        <v>8</v>
      </c>
      <c r="B13" s="12" t="s">
        <v>16</v>
      </c>
      <c r="C13" s="1">
        <v>5</v>
      </c>
      <c r="D13" s="1">
        <v>5</v>
      </c>
      <c r="E13" s="1">
        <v>10</v>
      </c>
      <c r="F13" s="1">
        <v>10</v>
      </c>
      <c r="G13" s="1">
        <v>30</v>
      </c>
      <c r="H13" s="1">
        <f t="shared" si="6"/>
        <v>60</v>
      </c>
      <c r="I13" s="1">
        <f t="shared" si="0"/>
        <v>30</v>
      </c>
      <c r="J13" s="1"/>
      <c r="K13" s="1">
        <v>5</v>
      </c>
      <c r="L13" s="1">
        <v>17</v>
      </c>
      <c r="M13" s="1">
        <v>9</v>
      </c>
      <c r="N13" s="1">
        <v>10</v>
      </c>
      <c r="O13" s="1">
        <v>21</v>
      </c>
      <c r="P13" s="1">
        <f t="shared" si="7"/>
        <v>62</v>
      </c>
      <c r="Q13" s="1">
        <f t="shared" si="8"/>
        <v>31</v>
      </c>
      <c r="R13" s="1"/>
      <c r="S13" s="1">
        <v>8</v>
      </c>
      <c r="T13" s="1">
        <v>10</v>
      </c>
      <c r="U13" s="1">
        <v>2</v>
      </c>
      <c r="V13" s="1">
        <v>11</v>
      </c>
      <c r="W13" s="1">
        <v>33</v>
      </c>
      <c r="X13" s="1">
        <f t="shared" si="9"/>
        <v>64</v>
      </c>
      <c r="Y13" s="1">
        <f t="shared" si="10"/>
        <v>32</v>
      </c>
      <c r="Z13" s="1"/>
      <c r="AA13" s="1">
        <v>10</v>
      </c>
      <c r="AB13" s="1">
        <v>7</v>
      </c>
      <c r="AC13" s="1">
        <v>8</v>
      </c>
      <c r="AD13" s="1">
        <v>13</v>
      </c>
      <c r="AE13" s="1">
        <v>13</v>
      </c>
      <c r="AF13" s="1">
        <f t="shared" si="11"/>
        <v>51</v>
      </c>
      <c r="AG13" s="1">
        <f t="shared" si="12"/>
        <v>26</v>
      </c>
      <c r="AH13" s="1"/>
      <c r="AI13" s="1">
        <v>7</v>
      </c>
      <c r="AJ13" s="1">
        <v>14</v>
      </c>
      <c r="AK13" s="1">
        <v>3</v>
      </c>
      <c r="AL13" s="1">
        <v>11</v>
      </c>
      <c r="AM13" s="1">
        <v>19</v>
      </c>
      <c r="AN13" s="1">
        <f t="shared" si="13"/>
        <v>54</v>
      </c>
      <c r="AO13" s="1">
        <f t="shared" si="14"/>
        <v>27</v>
      </c>
      <c r="AP13" s="1"/>
      <c r="AQ13" s="1">
        <v>4</v>
      </c>
      <c r="AR13" s="1">
        <v>3</v>
      </c>
      <c r="AS13" s="1">
        <v>4</v>
      </c>
      <c r="AT13" s="1">
        <v>12</v>
      </c>
      <c r="AU13" s="1">
        <v>1</v>
      </c>
      <c r="AV13" s="1">
        <v>5</v>
      </c>
      <c r="AW13" s="1">
        <v>2</v>
      </c>
      <c r="AX13" s="1">
        <v>8</v>
      </c>
      <c r="AY13" s="1">
        <f t="shared" si="1"/>
        <v>5</v>
      </c>
      <c r="AZ13" s="1">
        <f t="shared" si="2"/>
        <v>8</v>
      </c>
      <c r="BA13" s="1">
        <f t="shared" si="3"/>
        <v>6</v>
      </c>
      <c r="BB13" s="1">
        <v>5</v>
      </c>
      <c r="BC13" s="1">
        <f t="shared" si="4"/>
        <v>20</v>
      </c>
      <c r="BD13" s="1">
        <f t="shared" si="15"/>
        <v>44</v>
      </c>
      <c r="BE13" s="1">
        <f t="shared" si="19"/>
        <v>22</v>
      </c>
      <c r="BF13" s="1"/>
      <c r="BG13" s="1"/>
      <c r="BH13" s="1"/>
      <c r="BI13" s="1" t="s">
        <v>252</v>
      </c>
      <c r="BJ13" s="1"/>
      <c r="BK13" s="1"/>
      <c r="BL13" s="1"/>
      <c r="BM13" s="1"/>
      <c r="BN13" s="1"/>
      <c r="BO13" s="1" t="s">
        <v>373</v>
      </c>
      <c r="BP13" s="1" t="s">
        <v>372</v>
      </c>
      <c r="BQ13" s="43">
        <f t="shared" si="5"/>
        <v>0</v>
      </c>
      <c r="BR13" s="45">
        <f t="shared" si="16"/>
        <v>168</v>
      </c>
      <c r="BS13" s="70">
        <f t="shared" si="17"/>
        <v>28</v>
      </c>
      <c r="BT13" s="45" t="str">
        <f t="shared" si="18"/>
        <v>FAIL</v>
      </c>
      <c r="BU13" s="1"/>
    </row>
    <row r="14" spans="1:73" x14ac:dyDescent="0.25">
      <c r="A14" s="1">
        <v>9</v>
      </c>
      <c r="B14" s="12" t="s">
        <v>17</v>
      </c>
      <c r="C14" s="1">
        <v>8</v>
      </c>
      <c r="D14" s="1">
        <v>18</v>
      </c>
      <c r="E14" s="1">
        <v>11</v>
      </c>
      <c r="F14" s="1">
        <v>15</v>
      </c>
      <c r="G14" s="1">
        <v>41</v>
      </c>
      <c r="H14" s="1">
        <f t="shared" si="6"/>
        <v>93</v>
      </c>
      <c r="I14" s="1">
        <f t="shared" si="0"/>
        <v>47</v>
      </c>
      <c r="J14" s="1"/>
      <c r="K14" s="1">
        <v>9</v>
      </c>
      <c r="L14" s="1">
        <v>27</v>
      </c>
      <c r="M14" s="1">
        <v>11</v>
      </c>
      <c r="N14" s="1">
        <v>14</v>
      </c>
      <c r="O14" s="1">
        <v>40</v>
      </c>
      <c r="P14" s="1">
        <f t="shared" si="7"/>
        <v>101</v>
      </c>
      <c r="Q14" s="1">
        <f t="shared" si="8"/>
        <v>51</v>
      </c>
      <c r="R14" s="1"/>
      <c r="S14" s="1">
        <v>12</v>
      </c>
      <c r="T14" s="1">
        <v>32</v>
      </c>
      <c r="U14" s="1">
        <v>17</v>
      </c>
      <c r="V14" s="1">
        <v>18</v>
      </c>
      <c r="W14" s="1">
        <v>58</v>
      </c>
      <c r="X14" s="1">
        <f t="shared" si="9"/>
        <v>137</v>
      </c>
      <c r="Y14" s="1">
        <f t="shared" si="10"/>
        <v>69</v>
      </c>
      <c r="Z14" s="1"/>
      <c r="AA14" s="1">
        <v>15</v>
      </c>
      <c r="AB14" s="1">
        <v>18</v>
      </c>
      <c r="AC14" s="1">
        <v>13</v>
      </c>
      <c r="AD14" s="1">
        <v>12</v>
      </c>
      <c r="AE14" s="1">
        <v>27</v>
      </c>
      <c r="AF14" s="1">
        <f t="shared" si="11"/>
        <v>85</v>
      </c>
      <c r="AG14" s="1">
        <f t="shared" si="12"/>
        <v>43</v>
      </c>
      <c r="AH14" s="1"/>
      <c r="AI14" s="1">
        <v>15</v>
      </c>
      <c r="AJ14" s="1">
        <v>27</v>
      </c>
      <c r="AK14" s="1">
        <v>11</v>
      </c>
      <c r="AL14" s="1">
        <v>17</v>
      </c>
      <c r="AM14" s="1">
        <v>51</v>
      </c>
      <c r="AN14" s="1">
        <f t="shared" si="13"/>
        <v>121</v>
      </c>
      <c r="AO14" s="1">
        <f t="shared" si="14"/>
        <v>61</v>
      </c>
      <c r="AP14" s="1"/>
      <c r="AQ14" s="1">
        <v>6</v>
      </c>
      <c r="AR14" s="1">
        <v>11</v>
      </c>
      <c r="AS14" s="1">
        <v>5</v>
      </c>
      <c r="AT14" s="1">
        <v>13</v>
      </c>
      <c r="AU14" s="1">
        <v>0</v>
      </c>
      <c r="AV14" s="1">
        <v>7</v>
      </c>
      <c r="AW14" s="1">
        <v>7</v>
      </c>
      <c r="AX14" s="1">
        <v>15</v>
      </c>
      <c r="AY14" s="1">
        <f t="shared" si="1"/>
        <v>6</v>
      </c>
      <c r="AZ14" s="1">
        <f t="shared" si="2"/>
        <v>18</v>
      </c>
      <c r="BA14" s="1">
        <f t="shared" si="3"/>
        <v>12</v>
      </c>
      <c r="BB14" s="1">
        <v>11</v>
      </c>
      <c r="BC14" s="1">
        <f t="shared" si="4"/>
        <v>28</v>
      </c>
      <c r="BD14" s="1">
        <f t="shared" si="15"/>
        <v>75</v>
      </c>
      <c r="BE14" s="1">
        <f t="shared" si="19"/>
        <v>38</v>
      </c>
      <c r="BF14" s="1"/>
      <c r="BG14" s="1"/>
      <c r="BH14" s="1"/>
      <c r="BI14" s="1"/>
      <c r="BJ14" s="1"/>
      <c r="BK14" s="1"/>
      <c r="BL14" s="1"/>
      <c r="BM14" s="1"/>
      <c r="BN14" s="1"/>
      <c r="BO14" s="1" t="s">
        <v>371</v>
      </c>
      <c r="BP14" s="1" t="s">
        <v>371</v>
      </c>
      <c r="BQ14" s="43">
        <f t="shared" si="5"/>
        <v>0</v>
      </c>
      <c r="BR14" s="45">
        <f t="shared" si="16"/>
        <v>309</v>
      </c>
      <c r="BS14" s="70">
        <f t="shared" si="17"/>
        <v>51.5</v>
      </c>
      <c r="BT14" s="45" t="str">
        <f t="shared" si="18"/>
        <v>GRADE II</v>
      </c>
      <c r="BU14" s="1"/>
    </row>
    <row r="15" spans="1:73" x14ac:dyDescent="0.25">
      <c r="A15" s="1">
        <v>10</v>
      </c>
      <c r="B15" s="12" t="s">
        <v>18</v>
      </c>
      <c r="C15" s="1">
        <v>7</v>
      </c>
      <c r="D15" s="1">
        <v>18</v>
      </c>
      <c r="E15" s="1">
        <v>13</v>
      </c>
      <c r="F15" s="1">
        <v>14</v>
      </c>
      <c r="G15" s="1">
        <v>34</v>
      </c>
      <c r="H15" s="1">
        <f t="shared" si="6"/>
        <v>86</v>
      </c>
      <c r="I15" s="1">
        <f t="shared" si="0"/>
        <v>43</v>
      </c>
      <c r="J15" s="1"/>
      <c r="K15" s="1">
        <v>9</v>
      </c>
      <c r="L15" s="1">
        <v>27</v>
      </c>
      <c r="M15" s="1">
        <v>12</v>
      </c>
      <c r="N15" s="1">
        <v>14</v>
      </c>
      <c r="O15" s="1">
        <v>27</v>
      </c>
      <c r="P15" s="1">
        <f t="shared" si="7"/>
        <v>89</v>
      </c>
      <c r="Q15" s="1">
        <f t="shared" si="8"/>
        <v>45</v>
      </c>
      <c r="R15" s="1"/>
      <c r="S15" s="1">
        <v>16</v>
      </c>
      <c r="T15" s="1">
        <v>33</v>
      </c>
      <c r="U15" s="1">
        <v>18</v>
      </c>
      <c r="V15" s="1">
        <v>17</v>
      </c>
      <c r="W15" s="1">
        <v>49</v>
      </c>
      <c r="X15" s="1">
        <f t="shared" si="9"/>
        <v>133</v>
      </c>
      <c r="Y15" s="1">
        <f t="shared" si="10"/>
        <v>67</v>
      </c>
      <c r="Z15" s="1"/>
      <c r="AA15" s="1">
        <v>15</v>
      </c>
      <c r="AB15" s="1">
        <v>29</v>
      </c>
      <c r="AC15" s="1">
        <v>7</v>
      </c>
      <c r="AD15" s="1">
        <v>14</v>
      </c>
      <c r="AE15" s="1">
        <v>37</v>
      </c>
      <c r="AF15" s="1">
        <f t="shared" si="11"/>
        <v>102</v>
      </c>
      <c r="AG15" s="1">
        <f t="shared" si="12"/>
        <v>51</v>
      </c>
      <c r="AH15" s="1"/>
      <c r="AI15" s="1">
        <v>14</v>
      </c>
      <c r="AJ15" s="1">
        <v>39</v>
      </c>
      <c r="AK15" s="1">
        <v>9</v>
      </c>
      <c r="AL15" s="1">
        <v>18</v>
      </c>
      <c r="AM15" s="1">
        <v>43</v>
      </c>
      <c r="AN15" s="1">
        <f t="shared" si="13"/>
        <v>123</v>
      </c>
      <c r="AO15" s="1">
        <f t="shared" si="14"/>
        <v>62</v>
      </c>
      <c r="AP15" s="1"/>
      <c r="AQ15" s="1">
        <v>11</v>
      </c>
      <c r="AR15" s="1">
        <v>16.5</v>
      </c>
      <c r="AS15" s="1">
        <v>5</v>
      </c>
      <c r="AT15" s="1">
        <v>22</v>
      </c>
      <c r="AU15" s="1">
        <v>4</v>
      </c>
      <c r="AV15" s="1">
        <v>13.5</v>
      </c>
      <c r="AW15" s="1">
        <v>4.5</v>
      </c>
      <c r="AX15" s="1">
        <v>21</v>
      </c>
      <c r="AY15" s="1">
        <f t="shared" si="1"/>
        <v>15</v>
      </c>
      <c r="AZ15" s="1">
        <f t="shared" si="2"/>
        <v>30</v>
      </c>
      <c r="BA15" s="1">
        <f t="shared" si="3"/>
        <v>10</v>
      </c>
      <c r="BB15" s="1">
        <v>15</v>
      </c>
      <c r="BC15" s="1">
        <f t="shared" si="4"/>
        <v>43</v>
      </c>
      <c r="BD15" s="1">
        <f t="shared" si="15"/>
        <v>113</v>
      </c>
      <c r="BE15" s="1">
        <f t="shared" si="19"/>
        <v>57</v>
      </c>
      <c r="BF15" s="1"/>
      <c r="BG15" s="1"/>
      <c r="BH15" s="1"/>
      <c r="BI15" s="1"/>
      <c r="BJ15" s="1"/>
      <c r="BK15" s="1"/>
      <c r="BL15" s="1"/>
      <c r="BM15" s="1"/>
      <c r="BN15" s="1"/>
      <c r="BO15" s="1" t="s">
        <v>371</v>
      </c>
      <c r="BP15" s="1" t="s">
        <v>371</v>
      </c>
      <c r="BQ15" s="43">
        <f t="shared" si="5"/>
        <v>0</v>
      </c>
      <c r="BR15" s="45">
        <f t="shared" si="16"/>
        <v>325</v>
      </c>
      <c r="BS15" s="70">
        <f t="shared" si="17"/>
        <v>54.166666666666664</v>
      </c>
      <c r="BT15" s="45" t="str">
        <f t="shared" si="18"/>
        <v>GRADE II</v>
      </c>
      <c r="BU15" s="1"/>
    </row>
    <row r="16" spans="1:73" x14ac:dyDescent="0.25">
      <c r="A16" s="1">
        <v>11</v>
      </c>
      <c r="B16" s="12" t="s">
        <v>19</v>
      </c>
      <c r="C16" s="1">
        <v>12</v>
      </c>
      <c r="D16" s="1">
        <v>29</v>
      </c>
      <c r="E16" s="1">
        <v>15</v>
      </c>
      <c r="F16" s="1">
        <v>18</v>
      </c>
      <c r="G16" s="1">
        <v>56</v>
      </c>
      <c r="H16" s="1">
        <f t="shared" si="6"/>
        <v>130</v>
      </c>
      <c r="I16" s="1">
        <f t="shared" si="0"/>
        <v>65</v>
      </c>
      <c r="J16" s="1"/>
      <c r="K16" s="1">
        <v>12</v>
      </c>
      <c r="L16" s="1">
        <v>26</v>
      </c>
      <c r="M16" s="1">
        <v>16</v>
      </c>
      <c r="N16" s="1">
        <v>14</v>
      </c>
      <c r="O16" s="1">
        <v>38</v>
      </c>
      <c r="P16" s="1">
        <f t="shared" si="7"/>
        <v>106</v>
      </c>
      <c r="Q16" s="1">
        <f t="shared" si="8"/>
        <v>53</v>
      </c>
      <c r="R16" s="1"/>
      <c r="S16" s="1">
        <v>22</v>
      </c>
      <c r="T16" s="1">
        <v>42</v>
      </c>
      <c r="U16" s="1">
        <v>20</v>
      </c>
      <c r="V16" s="1">
        <v>15</v>
      </c>
      <c r="W16" s="1">
        <v>53</v>
      </c>
      <c r="X16" s="1">
        <f t="shared" si="9"/>
        <v>152</v>
      </c>
      <c r="Y16" s="1">
        <f t="shared" si="10"/>
        <v>76</v>
      </c>
      <c r="Z16" s="1"/>
      <c r="AA16" s="1">
        <v>22</v>
      </c>
      <c r="AB16" s="1">
        <v>25</v>
      </c>
      <c r="AC16" s="1">
        <v>11</v>
      </c>
      <c r="AD16" s="1">
        <v>15</v>
      </c>
      <c r="AE16" s="1">
        <v>39</v>
      </c>
      <c r="AF16" s="1">
        <f t="shared" si="11"/>
        <v>112</v>
      </c>
      <c r="AG16" s="1">
        <f t="shared" si="12"/>
        <v>56</v>
      </c>
      <c r="AH16" s="1"/>
      <c r="AI16" s="1">
        <v>14</v>
      </c>
      <c r="AJ16" s="1">
        <v>41</v>
      </c>
      <c r="AK16" s="1">
        <v>14</v>
      </c>
      <c r="AL16" s="1">
        <v>20</v>
      </c>
      <c r="AM16" s="1">
        <v>55</v>
      </c>
      <c r="AN16" s="1">
        <f t="shared" si="13"/>
        <v>144</v>
      </c>
      <c r="AO16" s="1">
        <f t="shared" si="14"/>
        <v>72</v>
      </c>
      <c r="AP16" s="1"/>
      <c r="AQ16" s="1">
        <v>12</v>
      </c>
      <c r="AR16" s="1">
        <v>20</v>
      </c>
      <c r="AS16" s="1">
        <v>4</v>
      </c>
      <c r="AT16" s="1">
        <v>29</v>
      </c>
      <c r="AU16" s="1">
        <v>8.5</v>
      </c>
      <c r="AV16" s="1">
        <v>9.5</v>
      </c>
      <c r="AW16" s="1">
        <v>7</v>
      </c>
      <c r="AX16" s="1">
        <v>8</v>
      </c>
      <c r="AY16" s="1">
        <f t="shared" si="1"/>
        <v>21</v>
      </c>
      <c r="AZ16" s="1">
        <f t="shared" si="2"/>
        <v>30</v>
      </c>
      <c r="BA16" s="1">
        <f t="shared" si="3"/>
        <v>11</v>
      </c>
      <c r="BB16" s="1">
        <v>15</v>
      </c>
      <c r="BC16" s="1">
        <f t="shared" si="4"/>
        <v>37</v>
      </c>
      <c r="BD16" s="1">
        <f t="shared" si="15"/>
        <v>114</v>
      </c>
      <c r="BE16" s="1">
        <f t="shared" si="19"/>
        <v>57</v>
      </c>
      <c r="BF16" s="1"/>
      <c r="BG16" s="1"/>
      <c r="BH16" s="1"/>
      <c r="BI16" s="1"/>
      <c r="BJ16" s="1"/>
      <c r="BK16" s="1"/>
      <c r="BL16" s="1"/>
      <c r="BM16" s="1"/>
      <c r="BN16" s="1"/>
      <c r="BO16" s="1" t="s">
        <v>372</v>
      </c>
      <c r="BP16" s="1" t="s">
        <v>371</v>
      </c>
      <c r="BQ16" s="43">
        <f t="shared" si="5"/>
        <v>0</v>
      </c>
      <c r="BR16" s="45">
        <f t="shared" si="16"/>
        <v>379</v>
      </c>
      <c r="BS16" s="70">
        <f t="shared" si="17"/>
        <v>63.166666666666664</v>
      </c>
      <c r="BT16" s="45" t="str">
        <f t="shared" si="18"/>
        <v>GRADE I</v>
      </c>
      <c r="BU16" s="1"/>
    </row>
    <row r="17" spans="1:73" x14ac:dyDescent="0.25">
      <c r="A17" s="1">
        <v>12</v>
      </c>
      <c r="B17" s="12" t="s">
        <v>20</v>
      </c>
      <c r="C17" s="1">
        <v>7</v>
      </c>
      <c r="D17" s="1">
        <v>5</v>
      </c>
      <c r="E17" s="1">
        <v>10</v>
      </c>
      <c r="F17" s="1">
        <v>11</v>
      </c>
      <c r="G17" s="1">
        <v>38</v>
      </c>
      <c r="H17" s="1">
        <f t="shared" si="6"/>
        <v>71</v>
      </c>
      <c r="I17" s="1">
        <f t="shared" si="0"/>
        <v>36</v>
      </c>
      <c r="J17" s="1"/>
      <c r="K17" s="1">
        <v>7</v>
      </c>
      <c r="L17" s="1">
        <v>10</v>
      </c>
      <c r="M17" s="1">
        <v>9</v>
      </c>
      <c r="N17" s="1">
        <v>13</v>
      </c>
      <c r="O17" s="1">
        <v>22</v>
      </c>
      <c r="P17" s="1">
        <f t="shared" si="7"/>
        <v>61</v>
      </c>
      <c r="Q17" s="1">
        <f t="shared" si="8"/>
        <v>31</v>
      </c>
      <c r="R17" s="1"/>
      <c r="S17" s="1">
        <v>9</v>
      </c>
      <c r="T17" s="1">
        <v>16</v>
      </c>
      <c r="U17" s="1">
        <v>6</v>
      </c>
      <c r="V17" s="1">
        <v>16</v>
      </c>
      <c r="W17" s="1">
        <v>24</v>
      </c>
      <c r="X17" s="1">
        <f t="shared" si="9"/>
        <v>71</v>
      </c>
      <c r="Y17" s="1">
        <f t="shared" si="10"/>
        <v>36</v>
      </c>
      <c r="Z17" s="1"/>
      <c r="AA17" s="1">
        <v>10</v>
      </c>
      <c r="AB17" s="1">
        <v>6</v>
      </c>
      <c r="AC17" s="1">
        <v>4</v>
      </c>
      <c r="AD17" s="1">
        <v>5</v>
      </c>
      <c r="AE17" s="1">
        <v>7</v>
      </c>
      <c r="AF17" s="1">
        <f t="shared" si="11"/>
        <v>32</v>
      </c>
      <c r="AG17" s="1">
        <f t="shared" si="12"/>
        <v>16</v>
      </c>
      <c r="AH17" s="1"/>
      <c r="AI17" s="1">
        <v>4</v>
      </c>
      <c r="AJ17" s="1">
        <v>12</v>
      </c>
      <c r="AK17" s="1">
        <v>5</v>
      </c>
      <c r="AL17" s="1">
        <v>12</v>
      </c>
      <c r="AM17" s="1">
        <v>20</v>
      </c>
      <c r="AN17" s="1">
        <f t="shared" si="13"/>
        <v>53</v>
      </c>
      <c r="AO17" s="1">
        <f t="shared" si="14"/>
        <v>27</v>
      </c>
      <c r="AP17" s="1"/>
      <c r="AQ17" s="1">
        <v>2</v>
      </c>
      <c r="AR17" s="1">
        <v>1</v>
      </c>
      <c r="AS17" s="1">
        <v>4</v>
      </c>
      <c r="AT17" s="1">
        <v>6</v>
      </c>
      <c r="AU17" s="1">
        <v>7</v>
      </c>
      <c r="AV17" s="1">
        <v>2</v>
      </c>
      <c r="AW17" s="1">
        <v>3</v>
      </c>
      <c r="AX17" s="1">
        <v>5</v>
      </c>
      <c r="AY17" s="1">
        <f t="shared" si="1"/>
        <v>9</v>
      </c>
      <c r="AZ17" s="1">
        <f t="shared" si="2"/>
        <v>3</v>
      </c>
      <c r="BA17" s="1">
        <f t="shared" si="3"/>
        <v>7</v>
      </c>
      <c r="BB17" s="1">
        <v>5</v>
      </c>
      <c r="BC17" s="1">
        <f t="shared" si="4"/>
        <v>11</v>
      </c>
      <c r="BD17" s="1">
        <f t="shared" si="15"/>
        <v>35</v>
      </c>
      <c r="BE17" s="1">
        <f t="shared" si="19"/>
        <v>18</v>
      </c>
      <c r="BF17" s="1"/>
      <c r="BG17" s="1"/>
      <c r="BH17" s="1"/>
      <c r="BI17" s="1"/>
      <c r="BJ17" s="1"/>
      <c r="BK17" s="1"/>
      <c r="BL17" s="1"/>
      <c r="BM17" s="1"/>
      <c r="BN17" s="1"/>
      <c r="BO17" s="1" t="s">
        <v>371</v>
      </c>
      <c r="BP17" s="1" t="s">
        <v>372</v>
      </c>
      <c r="BQ17" s="43">
        <f t="shared" si="5"/>
        <v>0</v>
      </c>
      <c r="BR17" s="45">
        <f t="shared" si="16"/>
        <v>164</v>
      </c>
      <c r="BS17" s="70">
        <f t="shared" si="17"/>
        <v>27.333333333333332</v>
      </c>
      <c r="BT17" s="45" t="str">
        <f t="shared" si="18"/>
        <v>FAIL</v>
      </c>
      <c r="BU17" s="1"/>
    </row>
    <row r="18" spans="1:73" x14ac:dyDescent="0.25">
      <c r="A18" s="1">
        <v>13</v>
      </c>
      <c r="B18" s="12" t="s">
        <v>21</v>
      </c>
      <c r="C18" s="1">
        <v>5</v>
      </c>
      <c r="D18" s="1">
        <v>10</v>
      </c>
      <c r="E18" s="1">
        <v>9</v>
      </c>
      <c r="F18" s="1">
        <v>14</v>
      </c>
      <c r="G18" s="1">
        <v>37</v>
      </c>
      <c r="H18" s="1">
        <f t="shared" si="6"/>
        <v>75</v>
      </c>
      <c r="I18" s="1">
        <f t="shared" si="0"/>
        <v>38</v>
      </c>
      <c r="J18" s="1"/>
      <c r="K18" s="1">
        <v>7</v>
      </c>
      <c r="L18" s="1">
        <v>23</v>
      </c>
      <c r="M18" s="1">
        <v>11</v>
      </c>
      <c r="N18" s="1">
        <v>12</v>
      </c>
      <c r="O18" s="1">
        <v>26</v>
      </c>
      <c r="P18" s="1">
        <f t="shared" si="7"/>
        <v>79</v>
      </c>
      <c r="Q18" s="1">
        <f t="shared" si="8"/>
        <v>40</v>
      </c>
      <c r="R18" s="1"/>
      <c r="S18" s="1">
        <v>14</v>
      </c>
      <c r="T18" s="1">
        <v>24</v>
      </c>
      <c r="U18" s="1">
        <v>11</v>
      </c>
      <c r="V18" s="1">
        <v>18</v>
      </c>
      <c r="W18" s="1">
        <v>56</v>
      </c>
      <c r="X18" s="1">
        <f t="shared" si="9"/>
        <v>123</v>
      </c>
      <c r="Y18" s="1">
        <f t="shared" si="10"/>
        <v>62</v>
      </c>
      <c r="Z18" s="1"/>
      <c r="AA18" s="1">
        <v>13</v>
      </c>
      <c r="AB18" s="13">
        <v>16</v>
      </c>
      <c r="AC18" s="1">
        <v>11</v>
      </c>
      <c r="AD18" s="1">
        <v>15</v>
      </c>
      <c r="AE18" s="1">
        <v>28</v>
      </c>
      <c r="AF18" s="1">
        <f t="shared" si="11"/>
        <v>83</v>
      </c>
      <c r="AG18" s="1">
        <f t="shared" si="12"/>
        <v>42</v>
      </c>
      <c r="AH18" s="1"/>
      <c r="AI18" s="1">
        <v>3</v>
      </c>
      <c r="AJ18" s="1">
        <v>18</v>
      </c>
      <c r="AK18" s="1">
        <v>10</v>
      </c>
      <c r="AL18" s="1">
        <v>14</v>
      </c>
      <c r="AM18" s="1">
        <v>32</v>
      </c>
      <c r="AN18" s="1">
        <f t="shared" si="13"/>
        <v>77</v>
      </c>
      <c r="AO18" s="1">
        <f t="shared" si="14"/>
        <v>39</v>
      </c>
      <c r="AP18" s="1"/>
      <c r="AQ18" s="1">
        <v>8</v>
      </c>
      <c r="AR18" s="1">
        <v>5</v>
      </c>
      <c r="AS18" s="1">
        <v>4</v>
      </c>
      <c r="AT18" s="1">
        <v>16</v>
      </c>
      <c r="AU18" s="1">
        <v>3</v>
      </c>
      <c r="AV18" s="1">
        <v>8.5</v>
      </c>
      <c r="AW18" s="1">
        <v>2.5</v>
      </c>
      <c r="AX18" s="1">
        <v>10</v>
      </c>
      <c r="AY18" s="1">
        <f t="shared" si="1"/>
        <v>11</v>
      </c>
      <c r="AZ18" s="1">
        <f t="shared" si="2"/>
        <v>14</v>
      </c>
      <c r="BA18" s="1">
        <f t="shared" si="3"/>
        <v>7</v>
      </c>
      <c r="BB18" s="1">
        <v>5</v>
      </c>
      <c r="BC18" s="1">
        <f t="shared" si="4"/>
        <v>26</v>
      </c>
      <c r="BD18" s="1">
        <f t="shared" si="15"/>
        <v>63</v>
      </c>
      <c r="BE18" s="1">
        <f t="shared" si="19"/>
        <v>32</v>
      </c>
      <c r="BF18" s="1">
        <v>3</v>
      </c>
      <c r="BG18" s="1"/>
      <c r="BH18" s="1"/>
      <c r="BI18" s="1"/>
      <c r="BJ18" s="1"/>
      <c r="BK18" s="1"/>
      <c r="BL18" s="1"/>
      <c r="BM18" s="1"/>
      <c r="BN18" s="1"/>
      <c r="BO18" s="1" t="s">
        <v>371</v>
      </c>
      <c r="BP18" s="1" t="s">
        <v>371</v>
      </c>
      <c r="BQ18" s="43">
        <f t="shared" si="5"/>
        <v>3</v>
      </c>
      <c r="BR18" s="45">
        <f t="shared" si="16"/>
        <v>253</v>
      </c>
      <c r="BS18" s="70">
        <f t="shared" si="17"/>
        <v>42.166666666666664</v>
      </c>
      <c r="BT18" s="45" t="s">
        <v>375</v>
      </c>
      <c r="BU18" s="1"/>
    </row>
    <row r="19" spans="1:73" x14ac:dyDescent="0.25">
      <c r="A19" s="1">
        <v>14</v>
      </c>
      <c r="B19" s="12" t="s">
        <v>22</v>
      </c>
      <c r="C19" s="1">
        <v>9</v>
      </c>
      <c r="D19" s="1">
        <v>28</v>
      </c>
      <c r="E19" s="1">
        <v>18</v>
      </c>
      <c r="F19" s="1">
        <v>18</v>
      </c>
      <c r="G19" s="1">
        <v>51</v>
      </c>
      <c r="H19" s="1">
        <f t="shared" si="6"/>
        <v>124</v>
      </c>
      <c r="I19" s="1">
        <f t="shared" si="0"/>
        <v>62</v>
      </c>
      <c r="J19" s="1"/>
      <c r="K19" s="1">
        <v>7</v>
      </c>
      <c r="L19" s="1">
        <v>23</v>
      </c>
      <c r="M19" s="1">
        <v>10</v>
      </c>
      <c r="N19" s="1">
        <v>12</v>
      </c>
      <c r="O19" s="1">
        <v>29</v>
      </c>
      <c r="P19" s="1">
        <f t="shared" si="7"/>
        <v>81</v>
      </c>
      <c r="Q19" s="1">
        <f t="shared" si="8"/>
        <v>41</v>
      </c>
      <c r="R19" s="1"/>
      <c r="S19" s="1">
        <v>17</v>
      </c>
      <c r="T19" s="1">
        <v>42</v>
      </c>
      <c r="U19" s="1">
        <v>20</v>
      </c>
      <c r="V19" s="1">
        <v>19</v>
      </c>
      <c r="W19" s="1">
        <v>51</v>
      </c>
      <c r="X19" s="1">
        <f t="shared" si="9"/>
        <v>149</v>
      </c>
      <c r="Y19" s="1">
        <f t="shared" si="10"/>
        <v>75</v>
      </c>
      <c r="Z19" s="1"/>
      <c r="AA19" s="1">
        <v>16</v>
      </c>
      <c r="AB19" s="1">
        <v>14</v>
      </c>
      <c r="AC19" s="1">
        <v>16</v>
      </c>
      <c r="AD19" s="1">
        <v>17</v>
      </c>
      <c r="AE19" s="1">
        <v>20</v>
      </c>
      <c r="AF19" s="1">
        <f t="shared" si="11"/>
        <v>83</v>
      </c>
      <c r="AG19" s="1">
        <f t="shared" si="12"/>
        <v>42</v>
      </c>
      <c r="AH19" s="1"/>
      <c r="AI19" s="1">
        <v>14</v>
      </c>
      <c r="AJ19" s="1">
        <v>34</v>
      </c>
      <c r="AK19" s="1">
        <v>12</v>
      </c>
      <c r="AL19" s="1">
        <v>19</v>
      </c>
      <c r="AM19" s="1">
        <v>45</v>
      </c>
      <c r="AN19" s="1">
        <f t="shared" si="13"/>
        <v>124</v>
      </c>
      <c r="AO19" s="1">
        <f t="shared" si="14"/>
        <v>62</v>
      </c>
      <c r="AP19" s="1"/>
      <c r="AQ19" s="1">
        <v>9</v>
      </c>
      <c r="AR19" s="1">
        <v>9</v>
      </c>
      <c r="AS19" s="1">
        <v>5</v>
      </c>
      <c r="AT19" s="1">
        <v>4</v>
      </c>
      <c r="AU19" s="1">
        <v>9</v>
      </c>
      <c r="AV19" s="1">
        <v>18.5</v>
      </c>
      <c r="AW19" s="1">
        <v>8.5</v>
      </c>
      <c r="AX19" s="1">
        <v>22</v>
      </c>
      <c r="AY19" s="1">
        <f t="shared" si="1"/>
        <v>18</v>
      </c>
      <c r="AZ19" s="1">
        <f t="shared" si="2"/>
        <v>28</v>
      </c>
      <c r="BA19" s="1">
        <f t="shared" si="3"/>
        <v>14</v>
      </c>
      <c r="BB19" s="1">
        <v>14</v>
      </c>
      <c r="BC19" s="1">
        <f t="shared" si="4"/>
        <v>26</v>
      </c>
      <c r="BD19" s="1">
        <f t="shared" si="15"/>
        <v>100</v>
      </c>
      <c r="BE19" s="1">
        <f t="shared" si="19"/>
        <v>50</v>
      </c>
      <c r="BF19" s="1"/>
      <c r="BG19" s="1"/>
      <c r="BH19" s="1"/>
      <c r="BI19" s="1"/>
      <c r="BJ19" s="1"/>
      <c r="BK19" s="1"/>
      <c r="BL19" s="1"/>
      <c r="BM19" s="1"/>
      <c r="BN19" s="1"/>
      <c r="BO19" s="1" t="s">
        <v>371</v>
      </c>
      <c r="BP19" s="1" t="s">
        <v>371</v>
      </c>
      <c r="BQ19" s="43">
        <f t="shared" si="5"/>
        <v>0</v>
      </c>
      <c r="BR19" s="45">
        <f t="shared" si="16"/>
        <v>332</v>
      </c>
      <c r="BS19" s="70">
        <f t="shared" si="17"/>
        <v>55.333333333333336</v>
      </c>
      <c r="BT19" s="45" t="str">
        <f t="shared" si="18"/>
        <v>GRADE II</v>
      </c>
      <c r="BU19" s="1"/>
    </row>
    <row r="20" spans="1:73" x14ac:dyDescent="0.25">
      <c r="A20" s="1">
        <v>15</v>
      </c>
      <c r="B20" s="12" t="s">
        <v>23</v>
      </c>
      <c r="C20" s="1">
        <v>10</v>
      </c>
      <c r="D20" s="1">
        <v>25</v>
      </c>
      <c r="E20" s="1">
        <v>15</v>
      </c>
      <c r="F20" s="1">
        <v>15</v>
      </c>
      <c r="G20" s="1">
        <v>47</v>
      </c>
      <c r="H20" s="1">
        <f t="shared" si="6"/>
        <v>112</v>
      </c>
      <c r="I20" s="1">
        <f t="shared" si="0"/>
        <v>56</v>
      </c>
      <c r="J20" s="1"/>
      <c r="K20" s="1">
        <v>2</v>
      </c>
      <c r="L20" s="1">
        <v>12</v>
      </c>
      <c r="M20" s="1">
        <v>6</v>
      </c>
      <c r="N20" s="1">
        <v>12</v>
      </c>
      <c r="O20" s="1">
        <v>26</v>
      </c>
      <c r="P20" s="1">
        <f t="shared" si="7"/>
        <v>58</v>
      </c>
      <c r="Q20" s="1">
        <f t="shared" si="8"/>
        <v>29</v>
      </c>
      <c r="R20" s="1">
        <v>6</v>
      </c>
      <c r="S20" s="1">
        <v>15</v>
      </c>
      <c r="T20" s="1">
        <v>33</v>
      </c>
      <c r="U20" s="1">
        <v>14</v>
      </c>
      <c r="V20" s="1">
        <v>16</v>
      </c>
      <c r="W20" s="1">
        <v>62</v>
      </c>
      <c r="X20" s="1">
        <f t="shared" si="9"/>
        <v>140</v>
      </c>
      <c r="Y20" s="1">
        <f t="shared" si="10"/>
        <v>70</v>
      </c>
      <c r="Z20" s="1"/>
      <c r="AA20" s="1">
        <v>19</v>
      </c>
      <c r="AB20" s="1">
        <v>19</v>
      </c>
      <c r="AC20" s="1">
        <v>9</v>
      </c>
      <c r="AD20" s="1">
        <v>16</v>
      </c>
      <c r="AE20" s="1">
        <v>22</v>
      </c>
      <c r="AF20" s="1">
        <f t="shared" si="11"/>
        <v>85</v>
      </c>
      <c r="AG20" s="1">
        <f t="shared" si="12"/>
        <v>43</v>
      </c>
      <c r="AH20" s="1"/>
      <c r="AI20" s="1">
        <v>11</v>
      </c>
      <c r="AJ20" s="1">
        <v>31</v>
      </c>
      <c r="AK20" s="1">
        <v>9</v>
      </c>
      <c r="AL20" s="1">
        <v>18</v>
      </c>
      <c r="AM20" s="1">
        <v>44</v>
      </c>
      <c r="AN20" s="1">
        <f t="shared" si="13"/>
        <v>113</v>
      </c>
      <c r="AO20" s="1">
        <f t="shared" si="14"/>
        <v>57</v>
      </c>
      <c r="AP20" s="1"/>
      <c r="AQ20" s="1">
        <v>6</v>
      </c>
      <c r="AR20" s="1">
        <v>14</v>
      </c>
      <c r="AS20" s="1">
        <v>6</v>
      </c>
      <c r="AT20" s="1">
        <v>10</v>
      </c>
      <c r="AU20" s="1">
        <v>5.5</v>
      </c>
      <c r="AV20" s="1">
        <v>11.5</v>
      </c>
      <c r="AW20" s="1">
        <v>4.5</v>
      </c>
      <c r="AX20" s="1">
        <v>18</v>
      </c>
      <c r="AY20" s="1">
        <f t="shared" si="1"/>
        <v>12</v>
      </c>
      <c r="AZ20" s="1">
        <f t="shared" si="2"/>
        <v>26</v>
      </c>
      <c r="BA20" s="1">
        <f t="shared" si="3"/>
        <v>11</v>
      </c>
      <c r="BB20" s="1">
        <v>0</v>
      </c>
      <c r="BC20" s="1">
        <f t="shared" si="4"/>
        <v>28</v>
      </c>
      <c r="BD20" s="1">
        <f t="shared" si="15"/>
        <v>77</v>
      </c>
      <c r="BE20" s="1">
        <f t="shared" si="19"/>
        <v>39</v>
      </c>
      <c r="BF20" s="1"/>
      <c r="BG20" s="1"/>
      <c r="BH20" s="1"/>
      <c r="BI20" s="1"/>
      <c r="BJ20" s="1"/>
      <c r="BK20" s="1"/>
      <c r="BL20" s="1"/>
      <c r="BM20" s="1"/>
      <c r="BN20" s="1"/>
      <c r="BO20" s="1" t="s">
        <v>371</v>
      </c>
      <c r="BP20" s="1" t="s">
        <v>371</v>
      </c>
      <c r="BQ20" s="43">
        <f t="shared" si="5"/>
        <v>6</v>
      </c>
      <c r="BR20" s="45">
        <f t="shared" si="16"/>
        <v>294</v>
      </c>
      <c r="BS20" s="70">
        <f t="shared" si="17"/>
        <v>49</v>
      </c>
      <c r="BT20" s="45" t="s">
        <v>375</v>
      </c>
      <c r="BU20" s="1"/>
    </row>
    <row r="21" spans="1:73" x14ac:dyDescent="0.25">
      <c r="A21" s="1">
        <v>16</v>
      </c>
      <c r="B21" s="12" t="s">
        <v>24</v>
      </c>
      <c r="C21" s="1">
        <v>8</v>
      </c>
      <c r="D21" s="1">
        <v>19</v>
      </c>
      <c r="E21" s="1">
        <v>10</v>
      </c>
      <c r="F21" s="1">
        <v>17</v>
      </c>
      <c r="G21" s="1">
        <v>37</v>
      </c>
      <c r="H21" s="1">
        <f t="shared" si="6"/>
        <v>91</v>
      </c>
      <c r="I21" s="1">
        <f t="shared" si="0"/>
        <v>46</v>
      </c>
      <c r="J21" s="1"/>
      <c r="K21" s="1">
        <v>4</v>
      </c>
      <c r="L21" s="1">
        <v>21</v>
      </c>
      <c r="M21" s="1">
        <v>11</v>
      </c>
      <c r="N21" s="1">
        <v>14</v>
      </c>
      <c r="O21" s="1">
        <v>30</v>
      </c>
      <c r="P21" s="1">
        <f t="shared" si="7"/>
        <v>80</v>
      </c>
      <c r="Q21" s="1">
        <f t="shared" si="8"/>
        <v>40</v>
      </c>
      <c r="R21" s="1"/>
      <c r="S21" s="1">
        <v>14</v>
      </c>
      <c r="T21" s="1">
        <v>29</v>
      </c>
      <c r="U21" s="1">
        <v>13</v>
      </c>
      <c r="V21" s="1">
        <v>19</v>
      </c>
      <c r="W21" s="1">
        <v>36</v>
      </c>
      <c r="X21" s="1">
        <f t="shared" si="9"/>
        <v>111</v>
      </c>
      <c r="Y21" s="1">
        <f t="shared" si="10"/>
        <v>56</v>
      </c>
      <c r="Z21" s="1"/>
      <c r="AA21" s="1">
        <v>12</v>
      </c>
      <c r="AB21" s="1">
        <v>12</v>
      </c>
      <c r="AC21" s="1">
        <v>8</v>
      </c>
      <c r="AD21" s="1">
        <v>10</v>
      </c>
      <c r="AE21" s="1">
        <v>13</v>
      </c>
      <c r="AF21" s="1">
        <f t="shared" si="11"/>
        <v>55</v>
      </c>
      <c r="AG21" s="1">
        <f t="shared" si="12"/>
        <v>28</v>
      </c>
      <c r="AH21" s="1">
        <v>7</v>
      </c>
      <c r="AI21" s="1">
        <v>13</v>
      </c>
      <c r="AJ21" s="1">
        <v>25</v>
      </c>
      <c r="AK21" s="1">
        <v>7</v>
      </c>
      <c r="AL21" s="1">
        <v>17</v>
      </c>
      <c r="AM21" s="1">
        <v>28</v>
      </c>
      <c r="AN21" s="1">
        <f t="shared" si="13"/>
        <v>90</v>
      </c>
      <c r="AO21" s="1">
        <f t="shared" si="14"/>
        <v>45</v>
      </c>
      <c r="AP21" s="1"/>
      <c r="AQ21" s="1">
        <v>7.5</v>
      </c>
      <c r="AR21" s="1">
        <v>11</v>
      </c>
      <c r="AS21" s="1">
        <v>4</v>
      </c>
      <c r="AT21" s="1">
        <v>12</v>
      </c>
      <c r="AU21" s="1">
        <v>7</v>
      </c>
      <c r="AV21" s="1">
        <v>10.5</v>
      </c>
      <c r="AW21" s="1">
        <v>3.5</v>
      </c>
      <c r="AX21" s="1">
        <v>14</v>
      </c>
      <c r="AY21" s="1">
        <f t="shared" si="1"/>
        <v>15</v>
      </c>
      <c r="AZ21" s="1">
        <f t="shared" si="2"/>
        <v>22</v>
      </c>
      <c r="BA21" s="1">
        <f t="shared" si="3"/>
        <v>8</v>
      </c>
      <c r="BB21" s="1">
        <v>5</v>
      </c>
      <c r="BC21" s="1">
        <f t="shared" si="4"/>
        <v>26</v>
      </c>
      <c r="BD21" s="1">
        <f t="shared" si="15"/>
        <v>76</v>
      </c>
      <c r="BE21" s="1">
        <f t="shared" si="19"/>
        <v>38</v>
      </c>
      <c r="BF21" s="1"/>
      <c r="BG21" s="1"/>
      <c r="BH21" s="1"/>
      <c r="BI21" s="1"/>
      <c r="BJ21" s="1"/>
      <c r="BK21" s="1"/>
      <c r="BL21" s="1"/>
      <c r="BM21" s="1"/>
      <c r="BN21" s="1"/>
      <c r="BO21" s="1" t="s">
        <v>371</v>
      </c>
      <c r="BP21" s="1" t="s">
        <v>372</v>
      </c>
      <c r="BQ21" s="43">
        <f t="shared" si="5"/>
        <v>7</v>
      </c>
      <c r="BR21" s="45">
        <f t="shared" si="16"/>
        <v>253</v>
      </c>
      <c r="BS21" s="70">
        <f t="shared" si="17"/>
        <v>42.166666666666664</v>
      </c>
      <c r="BT21" s="45" t="s">
        <v>375</v>
      </c>
      <c r="BU21" s="1"/>
    </row>
    <row r="22" spans="1:73" x14ac:dyDescent="0.25">
      <c r="A22" s="1">
        <v>17</v>
      </c>
      <c r="B22" s="12" t="s">
        <v>25</v>
      </c>
      <c r="C22" s="1">
        <v>11</v>
      </c>
      <c r="D22" s="1">
        <v>20</v>
      </c>
      <c r="E22" s="1">
        <v>11</v>
      </c>
      <c r="F22" s="1">
        <v>14</v>
      </c>
      <c r="G22" s="1">
        <v>51</v>
      </c>
      <c r="H22" s="1">
        <f t="shared" si="6"/>
        <v>107</v>
      </c>
      <c r="I22" s="1">
        <f t="shared" si="0"/>
        <v>54</v>
      </c>
      <c r="J22" s="1"/>
      <c r="K22" s="1">
        <v>12</v>
      </c>
      <c r="L22" s="1">
        <v>28</v>
      </c>
      <c r="M22" s="1">
        <v>14</v>
      </c>
      <c r="N22" s="1">
        <v>13</v>
      </c>
      <c r="O22" s="1">
        <v>40</v>
      </c>
      <c r="P22" s="1">
        <f t="shared" si="7"/>
        <v>107</v>
      </c>
      <c r="Q22" s="1">
        <f t="shared" si="8"/>
        <v>54</v>
      </c>
      <c r="R22" s="1"/>
      <c r="S22" s="1">
        <v>11</v>
      </c>
      <c r="T22" s="1">
        <v>31</v>
      </c>
      <c r="U22" s="1">
        <v>17</v>
      </c>
      <c r="V22" s="1">
        <v>15</v>
      </c>
      <c r="W22" s="1">
        <v>52</v>
      </c>
      <c r="X22" s="1">
        <f t="shared" si="9"/>
        <v>126</v>
      </c>
      <c r="Y22" s="1">
        <f t="shared" si="10"/>
        <v>63</v>
      </c>
      <c r="Z22" s="1"/>
      <c r="AA22" s="1">
        <v>12</v>
      </c>
      <c r="AB22" s="1">
        <v>12</v>
      </c>
      <c r="AC22" s="1">
        <v>12</v>
      </c>
      <c r="AD22" s="1">
        <v>13</v>
      </c>
      <c r="AE22" s="1">
        <v>32</v>
      </c>
      <c r="AF22" s="1">
        <f t="shared" si="11"/>
        <v>81</v>
      </c>
      <c r="AG22" s="1">
        <f t="shared" si="12"/>
        <v>41</v>
      </c>
      <c r="AH22" s="1"/>
      <c r="AI22" s="1">
        <v>10</v>
      </c>
      <c r="AJ22" s="1">
        <v>25</v>
      </c>
      <c r="AK22" s="1">
        <v>12</v>
      </c>
      <c r="AL22" s="1">
        <v>18</v>
      </c>
      <c r="AM22" s="1">
        <v>49</v>
      </c>
      <c r="AN22" s="1">
        <f t="shared" si="13"/>
        <v>114</v>
      </c>
      <c r="AO22" s="1">
        <f t="shared" si="14"/>
        <v>57</v>
      </c>
      <c r="AP22" s="1"/>
      <c r="AQ22" s="1">
        <v>6</v>
      </c>
      <c r="AR22" s="1">
        <v>2</v>
      </c>
      <c r="AS22" s="1">
        <v>4</v>
      </c>
      <c r="AT22" s="1">
        <v>14</v>
      </c>
      <c r="AU22" s="1">
        <v>6</v>
      </c>
      <c r="AV22" s="1">
        <v>8</v>
      </c>
      <c r="AW22" s="1">
        <v>2</v>
      </c>
      <c r="AX22" s="1">
        <v>14</v>
      </c>
      <c r="AY22" s="1">
        <f t="shared" si="1"/>
        <v>12</v>
      </c>
      <c r="AZ22" s="1">
        <f t="shared" si="2"/>
        <v>10</v>
      </c>
      <c r="BA22" s="1">
        <f t="shared" si="3"/>
        <v>6</v>
      </c>
      <c r="BB22" s="1">
        <v>10</v>
      </c>
      <c r="BC22" s="1">
        <f t="shared" si="4"/>
        <v>28</v>
      </c>
      <c r="BD22" s="1">
        <f t="shared" si="15"/>
        <v>66</v>
      </c>
      <c r="BE22" s="1">
        <f t="shared" si="19"/>
        <v>33</v>
      </c>
      <c r="BF22" s="1">
        <v>2</v>
      </c>
      <c r="BG22" s="1"/>
      <c r="BH22" s="1"/>
      <c r="BI22" s="1"/>
      <c r="BJ22" s="1"/>
      <c r="BK22" s="1"/>
      <c r="BL22" s="1"/>
      <c r="BM22" s="1"/>
      <c r="BN22" s="1"/>
      <c r="BO22" s="1" t="s">
        <v>371</v>
      </c>
      <c r="BP22" s="1" t="s">
        <v>371</v>
      </c>
      <c r="BQ22" s="43">
        <f t="shared" si="5"/>
        <v>2</v>
      </c>
      <c r="BR22" s="45">
        <f t="shared" si="16"/>
        <v>302</v>
      </c>
      <c r="BS22" s="70">
        <f t="shared" si="17"/>
        <v>50.333333333333336</v>
      </c>
      <c r="BT22" s="45" t="s">
        <v>375</v>
      </c>
      <c r="BU22" s="1"/>
    </row>
    <row r="23" spans="1:73" x14ac:dyDescent="0.25">
      <c r="A23" s="1">
        <v>18</v>
      </c>
      <c r="B23" s="12" t="s">
        <v>26</v>
      </c>
      <c r="C23" s="1">
        <v>8</v>
      </c>
      <c r="D23" s="1">
        <v>14</v>
      </c>
      <c r="E23" s="1">
        <v>6</v>
      </c>
      <c r="F23" s="1">
        <v>14</v>
      </c>
      <c r="G23" s="1">
        <v>36</v>
      </c>
      <c r="H23" s="1">
        <f t="shared" si="6"/>
        <v>78</v>
      </c>
      <c r="I23" s="1">
        <f t="shared" si="0"/>
        <v>39</v>
      </c>
      <c r="J23" s="1"/>
      <c r="K23" s="1">
        <v>10</v>
      </c>
      <c r="L23" s="1">
        <v>18</v>
      </c>
      <c r="M23" s="1">
        <v>12</v>
      </c>
      <c r="N23" s="1">
        <v>13</v>
      </c>
      <c r="O23" s="1">
        <v>32</v>
      </c>
      <c r="P23" s="1">
        <f t="shared" si="7"/>
        <v>85</v>
      </c>
      <c r="Q23" s="1">
        <f t="shared" si="8"/>
        <v>43</v>
      </c>
      <c r="R23" s="1"/>
      <c r="S23" s="1">
        <v>11</v>
      </c>
      <c r="T23" s="1">
        <v>26</v>
      </c>
      <c r="U23" s="1">
        <v>10</v>
      </c>
      <c r="V23" s="1">
        <v>15</v>
      </c>
      <c r="W23" s="1">
        <v>35</v>
      </c>
      <c r="X23" s="1">
        <f t="shared" si="9"/>
        <v>97</v>
      </c>
      <c r="Y23" s="1">
        <f t="shared" si="10"/>
        <v>49</v>
      </c>
      <c r="Z23" s="1"/>
      <c r="AA23" s="1">
        <v>9</v>
      </c>
      <c r="AB23" s="1">
        <v>12</v>
      </c>
      <c r="AC23" s="1">
        <v>10</v>
      </c>
      <c r="AD23" s="1">
        <v>15</v>
      </c>
      <c r="AE23" s="1">
        <v>19</v>
      </c>
      <c r="AF23" s="1">
        <f t="shared" si="11"/>
        <v>65</v>
      </c>
      <c r="AG23" s="1">
        <f t="shared" si="12"/>
        <v>33</v>
      </c>
      <c r="AH23" s="1">
        <v>2</v>
      </c>
      <c r="AI23" s="1">
        <v>10</v>
      </c>
      <c r="AJ23" s="1">
        <v>19</v>
      </c>
      <c r="AK23" s="1">
        <v>10</v>
      </c>
      <c r="AL23" s="1">
        <v>17</v>
      </c>
      <c r="AM23" s="1">
        <v>38</v>
      </c>
      <c r="AN23" s="1">
        <f t="shared" si="13"/>
        <v>94</v>
      </c>
      <c r="AO23" s="1">
        <f t="shared" si="14"/>
        <v>47</v>
      </c>
      <c r="AP23" s="1"/>
      <c r="AQ23" s="1">
        <v>7.5</v>
      </c>
      <c r="AR23" s="1">
        <v>1</v>
      </c>
      <c r="AS23" s="1">
        <v>4</v>
      </c>
      <c r="AT23" s="1">
        <v>13</v>
      </c>
      <c r="AU23" s="1">
        <v>4</v>
      </c>
      <c r="AV23" s="1">
        <v>10</v>
      </c>
      <c r="AW23" s="1">
        <v>2.5</v>
      </c>
      <c r="AX23" s="1">
        <v>7</v>
      </c>
      <c r="AY23" s="1">
        <f t="shared" si="1"/>
        <v>12</v>
      </c>
      <c r="AZ23" s="1">
        <f t="shared" si="2"/>
        <v>11</v>
      </c>
      <c r="BA23" s="1">
        <f t="shared" si="3"/>
        <v>7</v>
      </c>
      <c r="BB23" s="1">
        <v>15</v>
      </c>
      <c r="BC23" s="1">
        <f t="shared" si="4"/>
        <v>20</v>
      </c>
      <c r="BD23" s="1">
        <f t="shared" si="15"/>
        <v>65</v>
      </c>
      <c r="BE23" s="1">
        <f t="shared" si="19"/>
        <v>33</v>
      </c>
      <c r="BF23" s="1">
        <v>2</v>
      </c>
      <c r="BG23" s="1"/>
      <c r="BH23" s="1"/>
      <c r="BI23" s="1"/>
      <c r="BJ23" s="1"/>
      <c r="BK23" s="1"/>
      <c r="BL23" s="1"/>
      <c r="BM23" s="1"/>
      <c r="BN23" s="1"/>
      <c r="BO23" s="1" t="s">
        <v>371</v>
      </c>
      <c r="BP23" s="1" t="s">
        <v>371</v>
      </c>
      <c r="BQ23" s="43">
        <f t="shared" si="5"/>
        <v>4</v>
      </c>
      <c r="BR23" s="45">
        <f t="shared" si="16"/>
        <v>244</v>
      </c>
      <c r="BS23" s="70">
        <f t="shared" si="17"/>
        <v>40.666666666666664</v>
      </c>
      <c r="BT23" s="45" t="s">
        <v>375</v>
      </c>
      <c r="BU23" s="1"/>
    </row>
    <row r="24" spans="1:73" s="127" customFormat="1" x14ac:dyDescent="0.25">
      <c r="A24" s="122">
        <v>19</v>
      </c>
      <c r="B24" s="123" t="s">
        <v>27</v>
      </c>
      <c r="C24" s="122">
        <v>8</v>
      </c>
      <c r="D24" s="122">
        <v>15</v>
      </c>
      <c r="E24" s="122">
        <v>10</v>
      </c>
      <c r="F24" s="122">
        <v>13</v>
      </c>
      <c r="G24" s="122">
        <v>42</v>
      </c>
      <c r="H24" s="122">
        <f t="shared" si="6"/>
        <v>88</v>
      </c>
      <c r="I24" s="122">
        <f t="shared" si="0"/>
        <v>44</v>
      </c>
      <c r="J24" s="122"/>
      <c r="K24" s="122">
        <v>8</v>
      </c>
      <c r="L24" s="122">
        <v>22</v>
      </c>
      <c r="M24" s="122">
        <v>12</v>
      </c>
      <c r="N24" s="122">
        <v>14</v>
      </c>
      <c r="O24" s="122">
        <v>42</v>
      </c>
      <c r="P24" s="122">
        <f t="shared" si="7"/>
        <v>98</v>
      </c>
      <c r="Q24" s="122">
        <f t="shared" si="8"/>
        <v>49</v>
      </c>
      <c r="R24" s="122"/>
      <c r="S24" s="122">
        <v>7</v>
      </c>
      <c r="T24" s="122">
        <v>19</v>
      </c>
      <c r="U24" s="122">
        <v>9</v>
      </c>
      <c r="V24" s="122">
        <v>13</v>
      </c>
      <c r="W24" s="122">
        <v>36</v>
      </c>
      <c r="X24" s="122">
        <f t="shared" si="9"/>
        <v>84</v>
      </c>
      <c r="Y24" s="122">
        <f t="shared" si="10"/>
        <v>42</v>
      </c>
      <c r="Z24" s="122"/>
      <c r="AA24" s="122">
        <v>12</v>
      </c>
      <c r="AB24" s="122">
        <v>11</v>
      </c>
      <c r="AC24" s="122">
        <v>7</v>
      </c>
      <c r="AD24" s="122">
        <v>14</v>
      </c>
      <c r="AE24" s="122">
        <v>17</v>
      </c>
      <c r="AF24" s="122">
        <f t="shared" si="11"/>
        <v>61</v>
      </c>
      <c r="AG24" s="122">
        <f t="shared" si="12"/>
        <v>31</v>
      </c>
      <c r="AH24" s="122">
        <v>4</v>
      </c>
      <c r="AI24" s="122">
        <v>10</v>
      </c>
      <c r="AJ24" s="122">
        <v>18</v>
      </c>
      <c r="AK24" s="122">
        <v>7</v>
      </c>
      <c r="AL24" s="122">
        <v>14</v>
      </c>
      <c r="AM24" s="122">
        <v>40</v>
      </c>
      <c r="AN24" s="122">
        <f t="shared" si="13"/>
        <v>89</v>
      </c>
      <c r="AO24" s="122">
        <f t="shared" si="14"/>
        <v>45</v>
      </c>
      <c r="AP24" s="122"/>
      <c r="AQ24" s="122">
        <v>1</v>
      </c>
      <c r="AR24" s="122">
        <v>2</v>
      </c>
      <c r="AS24" s="122">
        <v>2</v>
      </c>
      <c r="AT24" s="122">
        <v>18</v>
      </c>
      <c r="AU24" s="122">
        <v>3</v>
      </c>
      <c r="AV24" s="122">
        <v>3</v>
      </c>
      <c r="AW24" s="122">
        <v>1</v>
      </c>
      <c r="AX24" s="122">
        <v>10</v>
      </c>
      <c r="AY24" s="122">
        <f t="shared" si="1"/>
        <v>4</v>
      </c>
      <c r="AZ24" s="122">
        <f t="shared" si="2"/>
        <v>5</v>
      </c>
      <c r="BA24" s="122">
        <f t="shared" si="3"/>
        <v>3</v>
      </c>
      <c r="BB24" s="122">
        <v>9</v>
      </c>
      <c r="BC24" s="122">
        <f t="shared" si="4"/>
        <v>28</v>
      </c>
      <c r="BD24" s="122">
        <f t="shared" si="15"/>
        <v>49</v>
      </c>
      <c r="BE24" s="122">
        <f t="shared" si="19"/>
        <v>25</v>
      </c>
      <c r="BF24" s="122">
        <v>10</v>
      </c>
      <c r="BG24" s="122"/>
      <c r="BH24" s="122"/>
      <c r="BI24" s="122"/>
      <c r="BJ24" s="122"/>
      <c r="BK24" s="122"/>
      <c r="BL24" s="122"/>
      <c r="BM24" s="122"/>
      <c r="BN24" s="122"/>
      <c r="BO24" s="122" t="s">
        <v>371</v>
      </c>
      <c r="BP24" s="122" t="s">
        <v>372</v>
      </c>
      <c r="BQ24" s="124">
        <f t="shared" si="5"/>
        <v>14</v>
      </c>
      <c r="BR24" s="125">
        <f t="shared" si="16"/>
        <v>236</v>
      </c>
      <c r="BS24" s="126">
        <f t="shared" si="17"/>
        <v>39.333333333333336</v>
      </c>
      <c r="BT24" s="125" t="s">
        <v>375</v>
      </c>
      <c r="BU24" s="122"/>
    </row>
    <row r="25" spans="1:73" x14ac:dyDescent="0.25">
      <c r="A25" s="1">
        <v>20</v>
      </c>
      <c r="B25" s="12" t="s">
        <v>28</v>
      </c>
      <c r="C25" s="1">
        <v>11</v>
      </c>
      <c r="D25" s="1">
        <v>33</v>
      </c>
      <c r="E25" s="1">
        <v>17</v>
      </c>
      <c r="F25" s="1">
        <v>17</v>
      </c>
      <c r="G25" s="1">
        <v>61</v>
      </c>
      <c r="H25" s="1">
        <f t="shared" si="6"/>
        <v>139</v>
      </c>
      <c r="I25" s="1">
        <f t="shared" si="0"/>
        <v>70</v>
      </c>
      <c r="J25" s="1"/>
      <c r="K25" s="1">
        <v>10</v>
      </c>
      <c r="L25" s="1">
        <v>30</v>
      </c>
      <c r="M25" s="1">
        <v>15</v>
      </c>
      <c r="N25" s="1">
        <v>13</v>
      </c>
      <c r="O25" s="1">
        <v>48</v>
      </c>
      <c r="P25" s="1">
        <f t="shared" si="7"/>
        <v>116</v>
      </c>
      <c r="Q25" s="1">
        <f t="shared" si="8"/>
        <v>58</v>
      </c>
      <c r="R25" s="1"/>
      <c r="S25" s="1">
        <v>22</v>
      </c>
      <c r="T25" s="1">
        <v>41</v>
      </c>
      <c r="U25" s="1">
        <v>14</v>
      </c>
      <c r="V25" s="1">
        <v>16</v>
      </c>
      <c r="W25" s="1">
        <v>53</v>
      </c>
      <c r="X25" s="1">
        <f t="shared" si="9"/>
        <v>146</v>
      </c>
      <c r="Y25" s="1">
        <f t="shared" si="10"/>
        <v>73</v>
      </c>
      <c r="Z25" s="1"/>
      <c r="AA25" s="1">
        <v>22</v>
      </c>
      <c r="AB25" s="1">
        <v>26</v>
      </c>
      <c r="AC25" s="1">
        <v>10</v>
      </c>
      <c r="AD25" s="1">
        <v>18</v>
      </c>
      <c r="AE25" s="1">
        <v>50</v>
      </c>
      <c r="AF25" s="1">
        <f t="shared" si="11"/>
        <v>126</v>
      </c>
      <c r="AG25" s="1">
        <f t="shared" si="12"/>
        <v>63</v>
      </c>
      <c r="AH25" s="1"/>
      <c r="AI25" s="1">
        <v>17</v>
      </c>
      <c r="AJ25" s="1">
        <v>38</v>
      </c>
      <c r="AK25" s="1">
        <v>13</v>
      </c>
      <c r="AL25" s="1">
        <v>19</v>
      </c>
      <c r="AM25" s="1">
        <v>51</v>
      </c>
      <c r="AN25" s="1">
        <f t="shared" si="13"/>
        <v>138</v>
      </c>
      <c r="AO25" s="1">
        <f t="shared" si="14"/>
        <v>69</v>
      </c>
      <c r="AP25" s="1"/>
      <c r="AQ25" s="1">
        <v>7</v>
      </c>
      <c r="AR25" s="1">
        <v>9.5</v>
      </c>
      <c r="AS25" s="1">
        <v>5.5</v>
      </c>
      <c r="AT25" s="1">
        <v>18</v>
      </c>
      <c r="AU25" s="1">
        <v>6</v>
      </c>
      <c r="AV25" s="1">
        <v>9</v>
      </c>
      <c r="AW25" s="1">
        <v>3</v>
      </c>
      <c r="AX25" s="1">
        <v>20</v>
      </c>
      <c r="AY25" s="1">
        <f t="shared" si="1"/>
        <v>13</v>
      </c>
      <c r="AZ25" s="1">
        <f t="shared" si="2"/>
        <v>19</v>
      </c>
      <c r="BA25" s="1">
        <f t="shared" si="3"/>
        <v>9</v>
      </c>
      <c r="BB25" s="1">
        <v>13</v>
      </c>
      <c r="BC25" s="1">
        <f t="shared" si="4"/>
        <v>38</v>
      </c>
      <c r="BD25" s="1">
        <f t="shared" si="15"/>
        <v>92</v>
      </c>
      <c r="BE25" s="1">
        <f t="shared" si="19"/>
        <v>46</v>
      </c>
      <c r="BF25" s="1"/>
      <c r="BG25" s="1"/>
      <c r="BH25" s="1"/>
      <c r="BI25" s="1"/>
      <c r="BJ25" s="1"/>
      <c r="BK25" s="1"/>
      <c r="BL25" s="1"/>
      <c r="BM25" s="1"/>
      <c r="BN25" s="1"/>
      <c r="BO25" s="1" t="s">
        <v>371</v>
      </c>
      <c r="BP25" s="1" t="s">
        <v>371</v>
      </c>
      <c r="BQ25" s="43">
        <f t="shared" si="5"/>
        <v>0</v>
      </c>
      <c r="BR25" s="45">
        <f t="shared" si="16"/>
        <v>379</v>
      </c>
      <c r="BS25" s="70">
        <f t="shared" si="17"/>
        <v>63.166666666666664</v>
      </c>
      <c r="BT25" s="45" t="str">
        <f t="shared" si="18"/>
        <v>GRADE I</v>
      </c>
      <c r="BU25" s="1"/>
    </row>
    <row r="26" spans="1:73" x14ac:dyDescent="0.25">
      <c r="A26" s="1">
        <v>21</v>
      </c>
      <c r="B26" s="12" t="s">
        <v>29</v>
      </c>
      <c r="C26" s="1">
        <v>9</v>
      </c>
      <c r="D26" s="1">
        <v>23</v>
      </c>
      <c r="E26" s="1">
        <v>15</v>
      </c>
      <c r="F26" s="1">
        <v>17</v>
      </c>
      <c r="G26" s="1">
        <v>47</v>
      </c>
      <c r="H26" s="1">
        <f t="shared" si="6"/>
        <v>111</v>
      </c>
      <c r="I26" s="1">
        <f t="shared" si="0"/>
        <v>56</v>
      </c>
      <c r="J26" s="1"/>
      <c r="K26" s="1">
        <v>10</v>
      </c>
      <c r="L26" s="1">
        <v>28</v>
      </c>
      <c r="M26" s="1">
        <v>12</v>
      </c>
      <c r="N26" s="1">
        <v>14</v>
      </c>
      <c r="O26" s="1">
        <v>49</v>
      </c>
      <c r="P26" s="1">
        <f t="shared" si="7"/>
        <v>113</v>
      </c>
      <c r="Q26" s="1">
        <f t="shared" si="8"/>
        <v>57</v>
      </c>
      <c r="R26" s="1"/>
      <c r="S26" s="1">
        <v>14</v>
      </c>
      <c r="T26" s="1">
        <v>41</v>
      </c>
      <c r="U26" s="1">
        <v>15</v>
      </c>
      <c r="V26" s="1">
        <v>14</v>
      </c>
      <c r="W26" s="1">
        <v>50</v>
      </c>
      <c r="X26" s="1">
        <f t="shared" si="9"/>
        <v>134</v>
      </c>
      <c r="Y26" s="1">
        <f t="shared" si="10"/>
        <v>67</v>
      </c>
      <c r="Z26" s="1"/>
      <c r="AA26" s="1">
        <v>11</v>
      </c>
      <c r="AB26" s="1">
        <v>7</v>
      </c>
      <c r="AC26" s="1">
        <v>6</v>
      </c>
      <c r="AD26" s="1">
        <v>12</v>
      </c>
      <c r="AE26" s="1">
        <v>27</v>
      </c>
      <c r="AF26" s="1">
        <f t="shared" si="11"/>
        <v>63</v>
      </c>
      <c r="AG26" s="1">
        <f t="shared" si="12"/>
        <v>32</v>
      </c>
      <c r="AH26" s="1">
        <v>3</v>
      </c>
      <c r="AI26" s="1">
        <v>14</v>
      </c>
      <c r="AJ26" s="1">
        <v>26</v>
      </c>
      <c r="AK26" s="1">
        <v>9</v>
      </c>
      <c r="AL26" s="1">
        <v>17</v>
      </c>
      <c r="AM26" s="1">
        <v>47</v>
      </c>
      <c r="AN26" s="1">
        <f t="shared" si="13"/>
        <v>113</v>
      </c>
      <c r="AO26" s="1">
        <f t="shared" si="14"/>
        <v>57</v>
      </c>
      <c r="AP26" s="1"/>
      <c r="AQ26" s="1"/>
      <c r="AR26" s="1"/>
      <c r="AS26" s="1" t="s">
        <v>263</v>
      </c>
      <c r="AT26" s="1"/>
      <c r="AU26" s="1"/>
      <c r="AV26" s="1"/>
      <c r="AW26" s="1" t="s">
        <v>263</v>
      </c>
      <c r="AX26" s="1"/>
      <c r="AY26" s="1"/>
      <c r="AZ26" s="1"/>
      <c r="BA26" s="1">
        <f t="shared" ref="BA26:BA57" si="20">ROUND(SUM(AS26,AW26),0)</f>
        <v>0</v>
      </c>
      <c r="BB26" s="1"/>
      <c r="BC26" s="1">
        <f t="shared" si="4"/>
        <v>0</v>
      </c>
      <c r="BD26" s="1">
        <f t="shared" si="15"/>
        <v>0</v>
      </c>
      <c r="BE26" s="1">
        <f t="shared" si="19"/>
        <v>0</v>
      </c>
      <c r="BF26" s="1"/>
      <c r="BG26" s="1">
        <v>11</v>
      </c>
      <c r="BH26" s="1">
        <v>9</v>
      </c>
      <c r="BI26" s="1">
        <v>9</v>
      </c>
      <c r="BJ26" s="1">
        <v>10</v>
      </c>
      <c r="BK26" s="1">
        <v>54</v>
      </c>
      <c r="BL26" s="1">
        <f>SUM(BG26:BK26)</f>
        <v>93</v>
      </c>
      <c r="BM26" s="1">
        <f>ROUND(93/2,0)</f>
        <v>47</v>
      </c>
      <c r="BN26" s="1"/>
      <c r="BO26" s="1" t="s">
        <v>371</v>
      </c>
      <c r="BP26" s="1" t="s">
        <v>371</v>
      </c>
      <c r="BQ26" s="43">
        <f t="shared" si="5"/>
        <v>3</v>
      </c>
      <c r="BR26" s="45">
        <f t="shared" si="16"/>
        <v>269</v>
      </c>
      <c r="BS26" s="70">
        <f t="shared" si="17"/>
        <v>44.833333333333336</v>
      </c>
      <c r="BT26" s="45" t="s">
        <v>375</v>
      </c>
      <c r="BU26" s="1"/>
    </row>
    <row r="27" spans="1:73" s="127" customFormat="1" x14ac:dyDescent="0.25">
      <c r="A27" s="122">
        <v>22</v>
      </c>
      <c r="B27" s="123" t="s">
        <v>30</v>
      </c>
      <c r="C27" s="122">
        <v>1</v>
      </c>
      <c r="D27" s="122">
        <v>4</v>
      </c>
      <c r="E27" s="122">
        <v>2</v>
      </c>
      <c r="F27" s="122">
        <v>20</v>
      </c>
      <c r="G27" s="122">
        <v>34</v>
      </c>
      <c r="H27" s="122">
        <f t="shared" si="6"/>
        <v>61</v>
      </c>
      <c r="I27" s="122">
        <f t="shared" si="0"/>
        <v>31</v>
      </c>
      <c r="J27" s="122">
        <v>4</v>
      </c>
      <c r="K27" s="122">
        <v>4</v>
      </c>
      <c r="L27" s="122">
        <v>8</v>
      </c>
      <c r="M27" s="122">
        <v>5</v>
      </c>
      <c r="N27" s="122">
        <v>19</v>
      </c>
      <c r="O27" s="122">
        <v>29</v>
      </c>
      <c r="P27" s="122">
        <f t="shared" si="7"/>
        <v>65</v>
      </c>
      <c r="Q27" s="122">
        <f t="shared" si="8"/>
        <v>33</v>
      </c>
      <c r="R27" s="122">
        <v>2</v>
      </c>
      <c r="S27" s="122">
        <v>7</v>
      </c>
      <c r="T27" s="122">
        <v>12</v>
      </c>
      <c r="U27" s="122">
        <v>2</v>
      </c>
      <c r="V27" s="122">
        <v>19</v>
      </c>
      <c r="W27" s="122">
        <v>29</v>
      </c>
      <c r="X27" s="122">
        <f t="shared" si="9"/>
        <v>69</v>
      </c>
      <c r="Y27" s="122">
        <f t="shared" si="10"/>
        <v>35</v>
      </c>
      <c r="Z27" s="122"/>
      <c r="AA27" s="122">
        <v>9</v>
      </c>
      <c r="AB27" s="122">
        <v>12</v>
      </c>
      <c r="AC27" s="122">
        <v>4</v>
      </c>
      <c r="AD27" s="122">
        <v>17</v>
      </c>
      <c r="AE27" s="122">
        <v>18</v>
      </c>
      <c r="AF27" s="122">
        <f t="shared" si="11"/>
        <v>60</v>
      </c>
      <c r="AG27" s="122">
        <f t="shared" si="12"/>
        <v>30</v>
      </c>
      <c r="AH27" s="122">
        <v>5</v>
      </c>
      <c r="AI27" s="122">
        <v>2</v>
      </c>
      <c r="AJ27" s="122">
        <v>10</v>
      </c>
      <c r="AK27" s="122">
        <v>6</v>
      </c>
      <c r="AL27" s="122">
        <v>18</v>
      </c>
      <c r="AM27" s="122">
        <v>34</v>
      </c>
      <c r="AN27" s="122">
        <f t="shared" si="13"/>
        <v>70</v>
      </c>
      <c r="AO27" s="122">
        <f t="shared" si="14"/>
        <v>35</v>
      </c>
      <c r="AP27" s="122"/>
      <c r="AQ27" s="122">
        <v>2</v>
      </c>
      <c r="AR27" s="122">
        <v>1</v>
      </c>
      <c r="AS27" s="122">
        <v>3.5</v>
      </c>
      <c r="AT27" s="122">
        <v>17</v>
      </c>
      <c r="AU27" s="122">
        <v>2</v>
      </c>
      <c r="AV27" s="122">
        <v>1</v>
      </c>
      <c r="AW27" s="122">
        <v>2.5</v>
      </c>
      <c r="AX27" s="122">
        <v>9</v>
      </c>
      <c r="AY27" s="122">
        <f t="shared" ref="AY27:AY58" si="21">ROUND(SUM(AQ27,AU27),0)</f>
        <v>4</v>
      </c>
      <c r="AZ27" s="122">
        <f t="shared" ref="AZ27:AZ58" si="22">ROUND(SUM(AR27,AV27),0)</f>
        <v>2</v>
      </c>
      <c r="BA27" s="122">
        <f t="shared" si="20"/>
        <v>6</v>
      </c>
      <c r="BB27" s="122">
        <v>13</v>
      </c>
      <c r="BC27" s="122">
        <f t="shared" si="4"/>
        <v>26</v>
      </c>
      <c r="BD27" s="122">
        <f t="shared" si="15"/>
        <v>51</v>
      </c>
      <c r="BE27" s="122">
        <f t="shared" si="19"/>
        <v>26</v>
      </c>
      <c r="BF27" s="122">
        <v>9</v>
      </c>
      <c r="BG27" s="122"/>
      <c r="BH27" s="122"/>
      <c r="BI27" s="122"/>
      <c r="BJ27" s="122"/>
      <c r="BK27" s="122"/>
      <c r="BL27" s="122"/>
      <c r="BM27" s="122"/>
      <c r="BN27" s="122"/>
      <c r="BO27" s="122" t="s">
        <v>372</v>
      </c>
      <c r="BP27" s="122" t="s">
        <v>372</v>
      </c>
      <c r="BQ27" s="124">
        <f t="shared" si="5"/>
        <v>20</v>
      </c>
      <c r="BR27" s="125">
        <f t="shared" si="16"/>
        <v>190</v>
      </c>
      <c r="BS27" s="126">
        <f t="shared" si="17"/>
        <v>31.666666666666668</v>
      </c>
      <c r="BT27" s="125" t="s">
        <v>375</v>
      </c>
      <c r="BU27" s="122"/>
    </row>
    <row r="28" spans="1:73" x14ac:dyDescent="0.25">
      <c r="A28" s="1">
        <v>23</v>
      </c>
      <c r="B28" s="12" t="s">
        <v>31</v>
      </c>
      <c r="C28" s="1">
        <v>10</v>
      </c>
      <c r="D28" s="1">
        <v>23</v>
      </c>
      <c r="E28" s="1">
        <v>16</v>
      </c>
      <c r="F28" s="1">
        <v>13</v>
      </c>
      <c r="G28" s="1">
        <v>52</v>
      </c>
      <c r="H28" s="1">
        <f t="shared" si="6"/>
        <v>114</v>
      </c>
      <c r="I28" s="1">
        <f t="shared" si="0"/>
        <v>57</v>
      </c>
      <c r="J28" s="1"/>
      <c r="K28" s="1">
        <v>9</v>
      </c>
      <c r="L28" s="1">
        <v>25</v>
      </c>
      <c r="M28" s="1">
        <v>16</v>
      </c>
      <c r="N28" s="1">
        <v>15</v>
      </c>
      <c r="O28" s="1">
        <v>44</v>
      </c>
      <c r="P28" s="1">
        <f t="shared" si="7"/>
        <v>109</v>
      </c>
      <c r="Q28" s="1">
        <f t="shared" si="8"/>
        <v>55</v>
      </c>
      <c r="R28" s="1"/>
      <c r="S28" s="1">
        <v>18</v>
      </c>
      <c r="T28" s="1">
        <v>41</v>
      </c>
      <c r="U28" s="1">
        <v>17</v>
      </c>
      <c r="V28" s="1">
        <v>17</v>
      </c>
      <c r="W28" s="1">
        <v>46</v>
      </c>
      <c r="X28" s="1">
        <f t="shared" si="9"/>
        <v>139</v>
      </c>
      <c r="Y28" s="1">
        <f t="shared" si="10"/>
        <v>70</v>
      </c>
      <c r="Z28" s="1"/>
      <c r="AA28" s="1">
        <v>14</v>
      </c>
      <c r="AB28" s="1">
        <v>20</v>
      </c>
      <c r="AC28" s="1">
        <v>9</v>
      </c>
      <c r="AD28" s="1">
        <v>12</v>
      </c>
      <c r="AE28" s="1">
        <v>46</v>
      </c>
      <c r="AF28" s="1">
        <f t="shared" si="11"/>
        <v>101</v>
      </c>
      <c r="AG28" s="1">
        <f t="shared" si="12"/>
        <v>51</v>
      </c>
      <c r="AH28" s="1"/>
      <c r="AI28" s="1">
        <v>19</v>
      </c>
      <c r="AJ28" s="1">
        <v>35</v>
      </c>
      <c r="AK28" s="1">
        <v>10</v>
      </c>
      <c r="AL28" s="1">
        <v>17</v>
      </c>
      <c r="AM28" s="1">
        <v>51</v>
      </c>
      <c r="AN28" s="1">
        <f t="shared" si="13"/>
        <v>132</v>
      </c>
      <c r="AO28" s="1">
        <f t="shared" si="14"/>
        <v>66</v>
      </c>
      <c r="AP28" s="1"/>
      <c r="AQ28" s="1">
        <v>6</v>
      </c>
      <c r="AR28" s="1">
        <v>8</v>
      </c>
      <c r="AS28" s="1">
        <v>3.5</v>
      </c>
      <c r="AT28" s="1">
        <v>23</v>
      </c>
      <c r="AU28" s="1">
        <v>4</v>
      </c>
      <c r="AV28" s="1">
        <v>11</v>
      </c>
      <c r="AW28" s="1">
        <v>8</v>
      </c>
      <c r="AX28" s="1">
        <v>13</v>
      </c>
      <c r="AY28" s="1">
        <f t="shared" si="21"/>
        <v>10</v>
      </c>
      <c r="AZ28" s="1">
        <f t="shared" si="22"/>
        <v>19</v>
      </c>
      <c r="BA28" s="1">
        <f t="shared" si="20"/>
        <v>12</v>
      </c>
      <c r="BB28" s="1">
        <v>6</v>
      </c>
      <c r="BC28" s="1">
        <f t="shared" si="4"/>
        <v>36</v>
      </c>
      <c r="BD28" s="1">
        <f t="shared" si="15"/>
        <v>83</v>
      </c>
      <c r="BE28" s="1">
        <f t="shared" si="19"/>
        <v>42</v>
      </c>
      <c r="BF28" s="1"/>
      <c r="BG28" s="1"/>
      <c r="BH28" s="1"/>
      <c r="BI28" s="1"/>
      <c r="BJ28" s="1"/>
      <c r="BK28" s="1"/>
      <c r="BL28" s="1"/>
      <c r="BM28" s="1"/>
      <c r="BN28" s="1"/>
      <c r="BO28" s="1" t="s">
        <v>371</v>
      </c>
      <c r="BP28" s="1" t="s">
        <v>371</v>
      </c>
      <c r="BQ28" s="43">
        <f t="shared" si="5"/>
        <v>0</v>
      </c>
      <c r="BR28" s="45">
        <f t="shared" si="16"/>
        <v>341</v>
      </c>
      <c r="BS28" s="70">
        <f t="shared" si="17"/>
        <v>56.833333333333336</v>
      </c>
      <c r="BT28" s="45" t="str">
        <f t="shared" si="18"/>
        <v>GRADE II</v>
      </c>
      <c r="BU28" s="1"/>
    </row>
    <row r="29" spans="1:73" x14ac:dyDescent="0.25">
      <c r="A29" s="1">
        <v>24</v>
      </c>
      <c r="B29" s="12" t="s">
        <v>32</v>
      </c>
      <c r="C29" s="1">
        <v>5</v>
      </c>
      <c r="D29" s="1">
        <v>8</v>
      </c>
      <c r="E29" s="1">
        <v>6</v>
      </c>
      <c r="F29" s="1">
        <v>18</v>
      </c>
      <c r="G29" s="1">
        <v>23</v>
      </c>
      <c r="H29" s="1">
        <f t="shared" si="6"/>
        <v>60</v>
      </c>
      <c r="I29" s="1">
        <f t="shared" si="0"/>
        <v>30</v>
      </c>
      <c r="J29" s="1">
        <v>5</v>
      </c>
      <c r="K29" s="1">
        <v>8</v>
      </c>
      <c r="L29" s="1">
        <v>15</v>
      </c>
      <c r="M29" s="1">
        <v>10</v>
      </c>
      <c r="N29" s="1">
        <v>13</v>
      </c>
      <c r="O29" s="1">
        <v>25</v>
      </c>
      <c r="P29" s="1">
        <f t="shared" si="7"/>
        <v>71</v>
      </c>
      <c r="Q29" s="1">
        <f t="shared" si="8"/>
        <v>36</v>
      </c>
      <c r="R29" s="1"/>
      <c r="S29" s="1">
        <v>9</v>
      </c>
      <c r="T29" s="1">
        <v>13</v>
      </c>
      <c r="U29" s="1">
        <v>6</v>
      </c>
      <c r="V29" s="1">
        <v>13</v>
      </c>
      <c r="W29" s="1">
        <v>36</v>
      </c>
      <c r="X29" s="1">
        <f t="shared" si="9"/>
        <v>77</v>
      </c>
      <c r="Y29" s="1">
        <f t="shared" si="10"/>
        <v>39</v>
      </c>
      <c r="Z29" s="1"/>
      <c r="AA29" s="1">
        <v>7</v>
      </c>
      <c r="AB29" s="1">
        <v>14</v>
      </c>
      <c r="AC29" s="1">
        <v>6</v>
      </c>
      <c r="AD29" s="1">
        <v>11</v>
      </c>
      <c r="AE29" s="1">
        <v>31</v>
      </c>
      <c r="AF29" s="1">
        <f t="shared" si="11"/>
        <v>69</v>
      </c>
      <c r="AG29" s="1">
        <f t="shared" si="12"/>
        <v>35</v>
      </c>
      <c r="AH29" s="1"/>
      <c r="AI29" s="1">
        <v>7</v>
      </c>
      <c r="AJ29" s="1">
        <v>9</v>
      </c>
      <c r="AK29" s="1">
        <v>6</v>
      </c>
      <c r="AL29" s="1">
        <v>17</v>
      </c>
      <c r="AM29" s="1">
        <v>30</v>
      </c>
      <c r="AN29" s="1">
        <f t="shared" si="13"/>
        <v>69</v>
      </c>
      <c r="AO29" s="1">
        <f t="shared" si="14"/>
        <v>35</v>
      </c>
      <c r="AP29" s="1"/>
      <c r="AQ29" s="1">
        <v>2</v>
      </c>
      <c r="AR29" s="1">
        <v>3</v>
      </c>
      <c r="AS29" s="1">
        <v>3</v>
      </c>
      <c r="AT29" s="1">
        <v>11</v>
      </c>
      <c r="AU29" s="1">
        <v>6</v>
      </c>
      <c r="AV29" s="1">
        <v>4</v>
      </c>
      <c r="AW29" s="1">
        <v>2</v>
      </c>
      <c r="AX29" s="1">
        <v>10</v>
      </c>
      <c r="AY29" s="1">
        <f t="shared" si="21"/>
        <v>8</v>
      </c>
      <c r="AZ29" s="1">
        <f t="shared" si="22"/>
        <v>7</v>
      </c>
      <c r="BA29" s="1">
        <f t="shared" si="20"/>
        <v>5</v>
      </c>
      <c r="BB29" s="1">
        <v>8</v>
      </c>
      <c r="BC29" s="1">
        <f t="shared" si="4"/>
        <v>21</v>
      </c>
      <c r="BD29" s="1">
        <f t="shared" si="15"/>
        <v>49</v>
      </c>
      <c r="BE29" s="1">
        <f t="shared" si="19"/>
        <v>25</v>
      </c>
      <c r="BF29" s="1">
        <v>10</v>
      </c>
      <c r="BG29" s="1"/>
      <c r="BH29" s="1"/>
      <c r="BI29" s="1"/>
      <c r="BJ29" s="1"/>
      <c r="BK29" s="1"/>
      <c r="BL29" s="1"/>
      <c r="BM29" s="1"/>
      <c r="BN29" s="1"/>
      <c r="BO29" s="1" t="s">
        <v>371</v>
      </c>
      <c r="BP29" s="1" t="s">
        <v>372</v>
      </c>
      <c r="BQ29" s="43">
        <f t="shared" si="5"/>
        <v>15</v>
      </c>
      <c r="BR29" s="45">
        <f t="shared" si="16"/>
        <v>200</v>
      </c>
      <c r="BS29" s="70">
        <f t="shared" si="17"/>
        <v>33.333333333333336</v>
      </c>
      <c r="BT29" s="45" t="s">
        <v>375</v>
      </c>
      <c r="BU29" s="1"/>
    </row>
    <row r="30" spans="1:73" x14ac:dyDescent="0.25">
      <c r="A30" s="1">
        <v>25</v>
      </c>
      <c r="B30" s="12" t="s">
        <v>33</v>
      </c>
      <c r="C30" s="1">
        <v>7</v>
      </c>
      <c r="D30" s="1">
        <v>12</v>
      </c>
      <c r="E30" s="1">
        <v>13</v>
      </c>
      <c r="F30" s="1">
        <v>14</v>
      </c>
      <c r="G30" s="1">
        <v>45</v>
      </c>
      <c r="H30" s="1">
        <f t="shared" si="6"/>
        <v>91</v>
      </c>
      <c r="I30" s="1">
        <f t="shared" si="0"/>
        <v>46</v>
      </c>
      <c r="J30" s="1"/>
      <c r="K30" s="1">
        <v>10</v>
      </c>
      <c r="L30" s="1">
        <v>24</v>
      </c>
      <c r="M30" s="1">
        <v>13</v>
      </c>
      <c r="N30" s="1">
        <v>14</v>
      </c>
      <c r="O30" s="1">
        <v>31</v>
      </c>
      <c r="P30" s="1">
        <f t="shared" si="7"/>
        <v>92</v>
      </c>
      <c r="Q30" s="1">
        <f t="shared" si="8"/>
        <v>46</v>
      </c>
      <c r="R30" s="1"/>
      <c r="S30" s="1">
        <v>7</v>
      </c>
      <c r="T30" s="1">
        <v>22</v>
      </c>
      <c r="U30" s="1">
        <v>14</v>
      </c>
      <c r="V30" s="1">
        <v>14</v>
      </c>
      <c r="W30" s="1">
        <v>43</v>
      </c>
      <c r="X30" s="1">
        <f t="shared" si="9"/>
        <v>100</v>
      </c>
      <c r="Y30" s="1">
        <f t="shared" si="10"/>
        <v>50</v>
      </c>
      <c r="Z30" s="1"/>
      <c r="AA30" s="1">
        <v>9</v>
      </c>
      <c r="AB30" s="1">
        <v>21</v>
      </c>
      <c r="AC30" s="1">
        <v>9</v>
      </c>
      <c r="AD30" s="1">
        <v>13</v>
      </c>
      <c r="AE30" s="1">
        <v>38</v>
      </c>
      <c r="AF30" s="1">
        <f t="shared" si="11"/>
        <v>90</v>
      </c>
      <c r="AG30" s="1">
        <f t="shared" si="12"/>
        <v>45</v>
      </c>
      <c r="AH30" s="1"/>
      <c r="AI30" s="1">
        <v>4</v>
      </c>
      <c r="AJ30" s="1">
        <v>30</v>
      </c>
      <c r="AK30" s="1">
        <v>9</v>
      </c>
      <c r="AL30" s="1">
        <v>14</v>
      </c>
      <c r="AM30" s="1">
        <v>36</v>
      </c>
      <c r="AN30" s="1">
        <f t="shared" si="13"/>
        <v>93</v>
      </c>
      <c r="AO30" s="1">
        <f t="shared" si="14"/>
        <v>47</v>
      </c>
      <c r="AP30" s="1"/>
      <c r="AQ30" s="1">
        <v>2</v>
      </c>
      <c r="AR30" s="1">
        <v>5.5</v>
      </c>
      <c r="AS30" s="1">
        <v>4.5</v>
      </c>
      <c r="AT30" s="1">
        <v>17</v>
      </c>
      <c r="AU30" s="1">
        <v>8</v>
      </c>
      <c r="AV30" s="1">
        <v>7</v>
      </c>
      <c r="AW30" s="1">
        <v>7</v>
      </c>
      <c r="AX30" s="1">
        <v>13</v>
      </c>
      <c r="AY30" s="1">
        <f t="shared" si="21"/>
        <v>10</v>
      </c>
      <c r="AZ30" s="1">
        <f t="shared" si="22"/>
        <v>13</v>
      </c>
      <c r="BA30" s="1">
        <f t="shared" si="20"/>
        <v>12</v>
      </c>
      <c r="BB30" s="1">
        <v>8</v>
      </c>
      <c r="BC30" s="1">
        <f t="shared" si="4"/>
        <v>30</v>
      </c>
      <c r="BD30" s="1">
        <f t="shared" si="15"/>
        <v>73</v>
      </c>
      <c r="BE30" s="1">
        <f t="shared" si="19"/>
        <v>37</v>
      </c>
      <c r="BF30" s="1"/>
      <c r="BG30" s="1"/>
      <c r="BH30" s="1"/>
      <c r="BI30" s="1"/>
      <c r="BJ30" s="1"/>
      <c r="BK30" s="1"/>
      <c r="BL30" s="1"/>
      <c r="BM30" s="1"/>
      <c r="BN30" s="1"/>
      <c r="BO30" s="1" t="s">
        <v>372</v>
      </c>
      <c r="BP30" s="1" t="s">
        <v>372</v>
      </c>
      <c r="BQ30" s="43">
        <f t="shared" si="5"/>
        <v>0</v>
      </c>
      <c r="BR30" s="45">
        <f t="shared" si="16"/>
        <v>271</v>
      </c>
      <c r="BS30" s="70">
        <f t="shared" si="17"/>
        <v>45.166666666666664</v>
      </c>
      <c r="BT30" s="45" t="str">
        <f t="shared" si="18"/>
        <v>GRADE II</v>
      </c>
      <c r="BU30" s="1"/>
    </row>
    <row r="31" spans="1:73" s="152" customFormat="1" x14ac:dyDescent="0.25">
      <c r="A31" s="147">
        <v>26</v>
      </c>
      <c r="B31" s="148" t="s">
        <v>34</v>
      </c>
      <c r="C31" s="147">
        <v>8</v>
      </c>
      <c r="D31" s="147">
        <v>14</v>
      </c>
      <c r="E31" s="147">
        <v>8</v>
      </c>
      <c r="F31" s="147">
        <v>12</v>
      </c>
      <c r="G31" s="147">
        <v>44</v>
      </c>
      <c r="H31" s="147">
        <f t="shared" si="6"/>
        <v>86</v>
      </c>
      <c r="I31" s="147">
        <f t="shared" si="0"/>
        <v>43</v>
      </c>
      <c r="J31" s="147"/>
      <c r="K31" s="147">
        <v>16</v>
      </c>
      <c r="L31" s="147">
        <v>27</v>
      </c>
      <c r="M31" s="147">
        <v>11</v>
      </c>
      <c r="N31" s="147">
        <v>14</v>
      </c>
      <c r="O31" s="147">
        <v>39</v>
      </c>
      <c r="P31" s="147">
        <f t="shared" si="7"/>
        <v>107</v>
      </c>
      <c r="Q31" s="147">
        <f t="shared" si="8"/>
        <v>54</v>
      </c>
      <c r="R31" s="147"/>
      <c r="S31" s="147">
        <v>8</v>
      </c>
      <c r="T31" s="147">
        <v>15</v>
      </c>
      <c r="U31" s="147">
        <v>7</v>
      </c>
      <c r="V31" s="147">
        <v>15</v>
      </c>
      <c r="W31" s="147">
        <v>32</v>
      </c>
      <c r="X31" s="147">
        <f t="shared" si="9"/>
        <v>77</v>
      </c>
      <c r="Y31" s="147">
        <f t="shared" si="10"/>
        <v>39</v>
      </c>
      <c r="Z31" s="147"/>
      <c r="AA31" s="147">
        <v>9</v>
      </c>
      <c r="AB31" s="147">
        <v>17</v>
      </c>
      <c r="AC31" s="147">
        <v>8</v>
      </c>
      <c r="AD31" s="147">
        <v>11</v>
      </c>
      <c r="AE31" s="147">
        <v>22</v>
      </c>
      <c r="AF31" s="147">
        <f t="shared" si="11"/>
        <v>67</v>
      </c>
      <c r="AG31" s="147">
        <f t="shared" si="12"/>
        <v>34</v>
      </c>
      <c r="AH31" s="147">
        <v>1</v>
      </c>
      <c r="AI31" s="147">
        <v>4</v>
      </c>
      <c r="AJ31" s="147">
        <v>17</v>
      </c>
      <c r="AK31" s="147">
        <v>3</v>
      </c>
      <c r="AL31" s="147">
        <v>12</v>
      </c>
      <c r="AM31" s="147">
        <v>25</v>
      </c>
      <c r="AN31" s="147">
        <f t="shared" si="13"/>
        <v>61</v>
      </c>
      <c r="AO31" s="147">
        <f t="shared" si="14"/>
        <v>31</v>
      </c>
      <c r="AP31" s="147">
        <v>4</v>
      </c>
      <c r="AQ31" s="147">
        <v>1</v>
      </c>
      <c r="AR31" s="147">
        <v>1</v>
      </c>
      <c r="AS31" s="147">
        <v>2</v>
      </c>
      <c r="AT31" s="147">
        <v>18</v>
      </c>
      <c r="AU31" s="147">
        <v>2</v>
      </c>
      <c r="AV31" s="147">
        <v>3.5</v>
      </c>
      <c r="AW31" s="147">
        <v>1</v>
      </c>
      <c r="AX31" s="147">
        <v>13</v>
      </c>
      <c r="AY31" s="147">
        <f t="shared" si="21"/>
        <v>3</v>
      </c>
      <c r="AZ31" s="147">
        <f t="shared" si="22"/>
        <v>5</v>
      </c>
      <c r="BA31" s="147">
        <f t="shared" si="20"/>
        <v>3</v>
      </c>
      <c r="BB31" s="147">
        <v>7</v>
      </c>
      <c r="BC31" s="147">
        <f t="shared" si="4"/>
        <v>31</v>
      </c>
      <c r="BD31" s="147">
        <f t="shared" si="15"/>
        <v>49</v>
      </c>
      <c r="BE31" s="147">
        <f t="shared" si="19"/>
        <v>25</v>
      </c>
      <c r="BF31" s="147">
        <v>10</v>
      </c>
      <c r="BG31" s="147"/>
      <c r="BH31" s="147"/>
      <c r="BI31" s="147"/>
      <c r="BJ31" s="147"/>
      <c r="BK31" s="147"/>
      <c r="BL31" s="147"/>
      <c r="BM31" s="147"/>
      <c r="BN31" s="147"/>
      <c r="BO31" s="147" t="s">
        <v>372</v>
      </c>
      <c r="BP31" s="147" t="s">
        <v>372</v>
      </c>
      <c r="BQ31" s="149">
        <f t="shared" si="5"/>
        <v>15</v>
      </c>
      <c r="BR31" s="150">
        <f t="shared" si="16"/>
        <v>226</v>
      </c>
      <c r="BS31" s="151">
        <f t="shared" si="17"/>
        <v>37.666666666666664</v>
      </c>
      <c r="BT31" s="150" t="s">
        <v>375</v>
      </c>
      <c r="BU31" s="147"/>
    </row>
    <row r="32" spans="1:73" x14ac:dyDescent="0.25">
      <c r="A32" s="1">
        <v>27</v>
      </c>
      <c r="B32" s="12" t="s">
        <v>35</v>
      </c>
      <c r="C32" s="1">
        <v>10</v>
      </c>
      <c r="D32" s="1">
        <v>22</v>
      </c>
      <c r="E32" s="1">
        <v>15</v>
      </c>
      <c r="F32" s="1">
        <v>16</v>
      </c>
      <c r="G32" s="1">
        <v>41</v>
      </c>
      <c r="H32" s="1">
        <f t="shared" si="6"/>
        <v>104</v>
      </c>
      <c r="I32" s="1">
        <f t="shared" si="0"/>
        <v>52</v>
      </c>
      <c r="J32" s="1"/>
      <c r="K32" s="1">
        <v>12</v>
      </c>
      <c r="L32" s="1">
        <v>27</v>
      </c>
      <c r="M32" s="1">
        <v>15</v>
      </c>
      <c r="N32" s="1">
        <v>14</v>
      </c>
      <c r="O32" s="1">
        <v>49</v>
      </c>
      <c r="P32" s="1">
        <f t="shared" si="7"/>
        <v>117</v>
      </c>
      <c r="Q32" s="1">
        <f t="shared" si="8"/>
        <v>59</v>
      </c>
      <c r="R32" s="1"/>
      <c r="S32" s="1">
        <v>20</v>
      </c>
      <c r="T32" s="1">
        <v>46</v>
      </c>
      <c r="U32" s="1">
        <v>16</v>
      </c>
      <c r="V32" s="1">
        <v>16</v>
      </c>
      <c r="W32" s="1">
        <v>62</v>
      </c>
      <c r="X32" s="1">
        <f t="shared" si="9"/>
        <v>160</v>
      </c>
      <c r="Y32" s="1">
        <f t="shared" si="10"/>
        <v>80</v>
      </c>
      <c r="Z32" s="1"/>
      <c r="AA32" s="1">
        <v>15</v>
      </c>
      <c r="AB32" s="1">
        <v>24</v>
      </c>
      <c r="AC32" s="1">
        <v>9</v>
      </c>
      <c r="AD32" s="1">
        <v>17</v>
      </c>
      <c r="AE32" s="1">
        <v>48</v>
      </c>
      <c r="AF32" s="1">
        <f t="shared" si="11"/>
        <v>113</v>
      </c>
      <c r="AG32" s="1">
        <f t="shared" si="12"/>
        <v>57</v>
      </c>
      <c r="AH32" s="1"/>
      <c r="AI32" s="1">
        <v>14</v>
      </c>
      <c r="AJ32" s="1">
        <v>37</v>
      </c>
      <c r="AK32" s="1">
        <v>10</v>
      </c>
      <c r="AL32" s="1">
        <v>20</v>
      </c>
      <c r="AM32" s="1">
        <v>52</v>
      </c>
      <c r="AN32" s="1">
        <f t="shared" si="13"/>
        <v>133</v>
      </c>
      <c r="AO32" s="1">
        <f t="shared" si="14"/>
        <v>67</v>
      </c>
      <c r="AP32" s="1"/>
      <c r="AQ32" s="1">
        <v>9</v>
      </c>
      <c r="AR32" s="1">
        <v>12.5</v>
      </c>
      <c r="AS32" s="1">
        <v>5</v>
      </c>
      <c r="AT32" s="1">
        <v>18</v>
      </c>
      <c r="AU32" s="1">
        <v>10</v>
      </c>
      <c r="AV32" s="1">
        <v>13</v>
      </c>
      <c r="AW32" s="1">
        <v>5</v>
      </c>
      <c r="AX32" s="1">
        <v>19</v>
      </c>
      <c r="AY32" s="1">
        <f t="shared" si="21"/>
        <v>19</v>
      </c>
      <c r="AZ32" s="1">
        <f t="shared" si="22"/>
        <v>26</v>
      </c>
      <c r="BA32" s="1">
        <f t="shared" si="20"/>
        <v>10</v>
      </c>
      <c r="BB32" s="1">
        <v>15</v>
      </c>
      <c r="BC32" s="1">
        <f t="shared" si="4"/>
        <v>37</v>
      </c>
      <c r="BD32" s="1">
        <f t="shared" si="15"/>
        <v>107</v>
      </c>
      <c r="BE32" s="1">
        <f t="shared" si="19"/>
        <v>54</v>
      </c>
      <c r="BF32" s="1"/>
      <c r="BG32" s="1"/>
      <c r="BH32" s="1"/>
      <c r="BI32" s="1"/>
      <c r="BJ32" s="1"/>
      <c r="BK32" s="1"/>
      <c r="BL32" s="1"/>
      <c r="BM32" s="1"/>
      <c r="BN32" s="1"/>
      <c r="BO32" s="1" t="s">
        <v>371</v>
      </c>
      <c r="BP32" s="1" t="s">
        <v>371</v>
      </c>
      <c r="BQ32" s="43">
        <f t="shared" si="5"/>
        <v>0</v>
      </c>
      <c r="BR32" s="45">
        <f t="shared" si="16"/>
        <v>369</v>
      </c>
      <c r="BS32" s="70">
        <f t="shared" si="17"/>
        <v>61.5</v>
      </c>
      <c r="BT32" s="45" t="str">
        <f t="shared" si="18"/>
        <v>GRADE I</v>
      </c>
      <c r="BU32" s="1"/>
    </row>
    <row r="33" spans="1:73" x14ac:dyDescent="0.25">
      <c r="A33" s="1">
        <v>28</v>
      </c>
      <c r="B33" s="12" t="s">
        <v>36</v>
      </c>
      <c r="C33" s="1">
        <v>11</v>
      </c>
      <c r="D33" s="1">
        <v>21</v>
      </c>
      <c r="E33" s="1">
        <v>14</v>
      </c>
      <c r="F33" s="1">
        <v>18</v>
      </c>
      <c r="G33" s="1">
        <v>51</v>
      </c>
      <c r="H33" s="1">
        <f t="shared" si="6"/>
        <v>115</v>
      </c>
      <c r="I33" s="1">
        <f t="shared" si="0"/>
        <v>58</v>
      </c>
      <c r="J33" s="1"/>
      <c r="K33" s="1">
        <v>15</v>
      </c>
      <c r="L33" s="1">
        <v>26</v>
      </c>
      <c r="M33" s="1">
        <v>15</v>
      </c>
      <c r="N33" s="1">
        <v>15</v>
      </c>
      <c r="O33" s="1">
        <v>52</v>
      </c>
      <c r="P33" s="1">
        <f t="shared" si="7"/>
        <v>123</v>
      </c>
      <c r="Q33" s="1">
        <f t="shared" si="8"/>
        <v>62</v>
      </c>
      <c r="R33" s="1"/>
      <c r="S33" s="1">
        <v>23</v>
      </c>
      <c r="T33" s="1">
        <v>44</v>
      </c>
      <c r="U33" s="1">
        <v>20</v>
      </c>
      <c r="V33" s="1">
        <v>16</v>
      </c>
      <c r="W33" s="1">
        <v>57</v>
      </c>
      <c r="X33" s="1">
        <f t="shared" si="9"/>
        <v>160</v>
      </c>
      <c r="Y33" s="1">
        <f t="shared" si="10"/>
        <v>80</v>
      </c>
      <c r="Z33" s="1"/>
      <c r="AA33" s="1">
        <v>12</v>
      </c>
      <c r="AB33" s="1">
        <v>22</v>
      </c>
      <c r="AC33" s="1">
        <v>11</v>
      </c>
      <c r="AD33" s="1">
        <v>16</v>
      </c>
      <c r="AE33" s="1">
        <v>35</v>
      </c>
      <c r="AF33" s="1">
        <f t="shared" si="11"/>
        <v>96</v>
      </c>
      <c r="AG33" s="1">
        <f t="shared" si="12"/>
        <v>48</v>
      </c>
      <c r="AH33" s="1"/>
      <c r="AI33" s="1">
        <v>20</v>
      </c>
      <c r="AJ33" s="1">
        <v>38</v>
      </c>
      <c r="AK33" s="1">
        <v>18</v>
      </c>
      <c r="AL33" s="1">
        <v>17</v>
      </c>
      <c r="AM33" s="1">
        <v>55</v>
      </c>
      <c r="AN33" s="1">
        <f t="shared" si="13"/>
        <v>148</v>
      </c>
      <c r="AO33" s="1">
        <f t="shared" si="14"/>
        <v>74</v>
      </c>
      <c r="AP33" s="1"/>
      <c r="AQ33" s="1">
        <v>5.5</v>
      </c>
      <c r="AR33" s="1">
        <v>4</v>
      </c>
      <c r="AS33" s="1">
        <v>3</v>
      </c>
      <c r="AT33" s="1">
        <v>0</v>
      </c>
      <c r="AU33" s="1">
        <v>4</v>
      </c>
      <c r="AV33" s="1">
        <v>7</v>
      </c>
      <c r="AW33" s="1">
        <v>4</v>
      </c>
      <c r="AX33" s="1">
        <v>12</v>
      </c>
      <c r="AY33" s="1">
        <f t="shared" si="21"/>
        <v>10</v>
      </c>
      <c r="AZ33" s="1">
        <f t="shared" si="22"/>
        <v>11</v>
      </c>
      <c r="BA33" s="1">
        <f t="shared" si="20"/>
        <v>7</v>
      </c>
      <c r="BB33" s="1">
        <v>9</v>
      </c>
      <c r="BC33" s="1">
        <f t="shared" si="4"/>
        <v>12</v>
      </c>
      <c r="BD33" s="1">
        <f t="shared" si="15"/>
        <v>49</v>
      </c>
      <c r="BE33" s="1">
        <f t="shared" si="19"/>
        <v>25</v>
      </c>
      <c r="BF33" s="1">
        <v>10</v>
      </c>
      <c r="BG33" s="1"/>
      <c r="BH33" s="1"/>
      <c r="BI33" s="1"/>
      <c r="BJ33" s="1"/>
      <c r="BK33" s="1"/>
      <c r="BL33" s="1"/>
      <c r="BM33" s="1"/>
      <c r="BN33" s="1"/>
      <c r="BO33" s="1" t="s">
        <v>371</v>
      </c>
      <c r="BP33" s="1" t="s">
        <v>371</v>
      </c>
      <c r="BQ33" s="43">
        <f t="shared" si="5"/>
        <v>10</v>
      </c>
      <c r="BR33" s="45">
        <f t="shared" si="16"/>
        <v>347</v>
      </c>
      <c r="BS33" s="70">
        <f t="shared" si="17"/>
        <v>57.833333333333336</v>
      </c>
      <c r="BT33" s="45" t="s">
        <v>375</v>
      </c>
      <c r="BU33" s="1"/>
    </row>
    <row r="34" spans="1:73" x14ac:dyDescent="0.25">
      <c r="A34" s="1">
        <v>29</v>
      </c>
      <c r="B34" s="12" t="s">
        <v>37</v>
      </c>
      <c r="C34" s="1">
        <v>3</v>
      </c>
      <c r="D34" s="1">
        <v>14</v>
      </c>
      <c r="E34" s="1">
        <v>11</v>
      </c>
      <c r="F34" s="1">
        <v>12</v>
      </c>
      <c r="G34" s="1">
        <v>37</v>
      </c>
      <c r="H34" s="1">
        <f t="shared" si="6"/>
        <v>77</v>
      </c>
      <c r="I34" s="1">
        <f t="shared" si="0"/>
        <v>39</v>
      </c>
      <c r="J34" s="1"/>
      <c r="K34" s="1">
        <v>13</v>
      </c>
      <c r="L34" s="1">
        <v>22</v>
      </c>
      <c r="M34" s="1">
        <v>14</v>
      </c>
      <c r="N34" s="1">
        <v>13</v>
      </c>
      <c r="O34" s="1">
        <v>39</v>
      </c>
      <c r="P34" s="1">
        <f t="shared" si="7"/>
        <v>101</v>
      </c>
      <c r="Q34" s="1">
        <f t="shared" si="8"/>
        <v>51</v>
      </c>
      <c r="R34" s="1"/>
      <c r="S34" s="1">
        <v>21</v>
      </c>
      <c r="T34" s="1">
        <v>35</v>
      </c>
      <c r="U34" s="1">
        <v>18</v>
      </c>
      <c r="V34" s="1">
        <v>17</v>
      </c>
      <c r="W34" s="1">
        <v>46</v>
      </c>
      <c r="X34" s="1">
        <f t="shared" si="9"/>
        <v>137</v>
      </c>
      <c r="Y34" s="1">
        <f t="shared" si="10"/>
        <v>69</v>
      </c>
      <c r="Z34" s="1"/>
      <c r="AA34" s="1">
        <v>24</v>
      </c>
      <c r="AB34" s="1">
        <v>26</v>
      </c>
      <c r="AC34" s="1">
        <v>13</v>
      </c>
      <c r="AD34" s="1">
        <v>18</v>
      </c>
      <c r="AE34" s="1">
        <v>51</v>
      </c>
      <c r="AF34" s="1">
        <f t="shared" si="11"/>
        <v>132</v>
      </c>
      <c r="AG34" s="1">
        <f t="shared" si="12"/>
        <v>66</v>
      </c>
      <c r="AH34" s="1"/>
      <c r="AI34" s="1">
        <v>18</v>
      </c>
      <c r="AJ34" s="1">
        <v>40</v>
      </c>
      <c r="AK34" s="1">
        <v>14</v>
      </c>
      <c r="AL34" s="1">
        <v>15</v>
      </c>
      <c r="AM34" s="1">
        <v>42</v>
      </c>
      <c r="AN34" s="1">
        <f t="shared" si="13"/>
        <v>129</v>
      </c>
      <c r="AO34" s="1">
        <f t="shared" si="14"/>
        <v>65</v>
      </c>
      <c r="AP34" s="1"/>
      <c r="AQ34" s="1">
        <v>9</v>
      </c>
      <c r="AR34" s="1">
        <v>5</v>
      </c>
      <c r="AS34" s="1">
        <v>5</v>
      </c>
      <c r="AT34" s="1">
        <v>0</v>
      </c>
      <c r="AU34" s="1">
        <v>8</v>
      </c>
      <c r="AV34" s="1">
        <v>11</v>
      </c>
      <c r="AW34" s="1">
        <v>8.5</v>
      </c>
      <c r="AX34" s="1">
        <v>10</v>
      </c>
      <c r="AY34" s="1">
        <f t="shared" si="21"/>
        <v>17</v>
      </c>
      <c r="AZ34" s="1">
        <f t="shared" si="22"/>
        <v>16</v>
      </c>
      <c r="BA34" s="1">
        <f t="shared" si="20"/>
        <v>14</v>
      </c>
      <c r="BB34" s="1">
        <v>10</v>
      </c>
      <c r="BC34" s="1">
        <f t="shared" si="4"/>
        <v>10</v>
      </c>
      <c r="BD34" s="1">
        <f t="shared" si="15"/>
        <v>67</v>
      </c>
      <c r="BE34" s="1">
        <f t="shared" si="19"/>
        <v>34</v>
      </c>
      <c r="BF34" s="1">
        <v>1</v>
      </c>
      <c r="BG34" s="1"/>
      <c r="BH34" s="1"/>
      <c r="BI34" s="1"/>
      <c r="BJ34" s="1"/>
      <c r="BK34" s="1"/>
      <c r="BL34" s="1"/>
      <c r="BM34" s="1"/>
      <c r="BN34" s="1"/>
      <c r="BO34" s="1" t="s">
        <v>371</v>
      </c>
      <c r="BP34" s="1" t="s">
        <v>371</v>
      </c>
      <c r="BQ34" s="43">
        <f t="shared" si="5"/>
        <v>1</v>
      </c>
      <c r="BR34" s="45">
        <f t="shared" si="16"/>
        <v>324</v>
      </c>
      <c r="BS34" s="70">
        <f t="shared" si="17"/>
        <v>54</v>
      </c>
      <c r="BT34" s="45" t="s">
        <v>375</v>
      </c>
      <c r="BU34" s="1"/>
    </row>
    <row r="35" spans="1:73" x14ac:dyDescent="0.25">
      <c r="A35" s="1">
        <v>30</v>
      </c>
      <c r="B35" s="12" t="s">
        <v>38</v>
      </c>
      <c r="C35" s="1">
        <v>7</v>
      </c>
      <c r="D35" s="1">
        <v>18</v>
      </c>
      <c r="E35" s="1">
        <v>13</v>
      </c>
      <c r="F35" s="1">
        <v>16</v>
      </c>
      <c r="G35" s="1">
        <v>37</v>
      </c>
      <c r="H35" s="1">
        <f t="shared" si="6"/>
        <v>91</v>
      </c>
      <c r="I35" s="1">
        <f t="shared" si="0"/>
        <v>46</v>
      </c>
      <c r="J35" s="1"/>
      <c r="K35" s="1">
        <v>11</v>
      </c>
      <c r="L35" s="1">
        <v>18</v>
      </c>
      <c r="M35" s="1">
        <v>10</v>
      </c>
      <c r="N35" s="1">
        <v>13</v>
      </c>
      <c r="O35" s="1">
        <v>21</v>
      </c>
      <c r="P35" s="1">
        <f t="shared" si="7"/>
        <v>73</v>
      </c>
      <c r="Q35" s="1">
        <f t="shared" si="8"/>
        <v>37</v>
      </c>
      <c r="R35" s="1"/>
      <c r="S35" s="1">
        <v>7</v>
      </c>
      <c r="T35" s="1">
        <v>14</v>
      </c>
      <c r="U35" s="1">
        <v>8</v>
      </c>
      <c r="V35" s="1">
        <v>12</v>
      </c>
      <c r="W35" s="1">
        <v>25</v>
      </c>
      <c r="X35" s="1">
        <f t="shared" si="9"/>
        <v>66</v>
      </c>
      <c r="Y35" s="1">
        <f t="shared" si="10"/>
        <v>33</v>
      </c>
      <c r="Z35" s="1">
        <v>2</v>
      </c>
      <c r="AA35" s="1">
        <v>20</v>
      </c>
      <c r="AB35" s="1">
        <v>8</v>
      </c>
      <c r="AC35" s="1">
        <v>11</v>
      </c>
      <c r="AD35" s="1">
        <v>13</v>
      </c>
      <c r="AE35" s="1">
        <v>14</v>
      </c>
      <c r="AF35" s="1">
        <f t="shared" si="11"/>
        <v>66</v>
      </c>
      <c r="AG35" s="1">
        <f t="shared" si="12"/>
        <v>33</v>
      </c>
      <c r="AH35" s="1">
        <v>2</v>
      </c>
      <c r="AI35" s="1">
        <v>11</v>
      </c>
      <c r="AJ35" s="1">
        <v>10</v>
      </c>
      <c r="AK35" s="1">
        <v>7</v>
      </c>
      <c r="AL35" s="1">
        <v>15</v>
      </c>
      <c r="AM35" s="1">
        <v>28</v>
      </c>
      <c r="AN35" s="1">
        <f t="shared" si="13"/>
        <v>71</v>
      </c>
      <c r="AO35" s="1">
        <f t="shared" si="14"/>
        <v>36</v>
      </c>
      <c r="AP35" s="1"/>
      <c r="AQ35" s="1">
        <v>3</v>
      </c>
      <c r="AR35" s="1">
        <v>3</v>
      </c>
      <c r="AS35" s="1">
        <v>5</v>
      </c>
      <c r="AT35" s="1">
        <v>13</v>
      </c>
      <c r="AU35" s="1">
        <v>6</v>
      </c>
      <c r="AV35" s="1">
        <v>1</v>
      </c>
      <c r="AW35" s="1">
        <v>2</v>
      </c>
      <c r="AX35" s="1">
        <v>11</v>
      </c>
      <c r="AY35" s="1">
        <f t="shared" si="21"/>
        <v>9</v>
      </c>
      <c r="AZ35" s="1">
        <f t="shared" si="22"/>
        <v>4</v>
      </c>
      <c r="BA35" s="1">
        <f t="shared" si="20"/>
        <v>7</v>
      </c>
      <c r="BB35" s="1">
        <v>5</v>
      </c>
      <c r="BC35" s="1">
        <f t="shared" si="4"/>
        <v>24</v>
      </c>
      <c r="BD35" s="1">
        <f t="shared" si="15"/>
        <v>49</v>
      </c>
      <c r="BE35" s="1">
        <f t="shared" si="19"/>
        <v>25</v>
      </c>
      <c r="BF35" s="1">
        <v>10</v>
      </c>
      <c r="BG35" s="1"/>
      <c r="BH35" s="1"/>
      <c r="BI35" s="1"/>
      <c r="BJ35" s="1"/>
      <c r="BK35" s="1"/>
      <c r="BL35" s="1"/>
      <c r="BM35" s="1"/>
      <c r="BN35" s="1"/>
      <c r="BO35" s="1" t="s">
        <v>371</v>
      </c>
      <c r="BP35" s="1" t="s">
        <v>372</v>
      </c>
      <c r="BQ35" s="43">
        <f t="shared" si="5"/>
        <v>14</v>
      </c>
      <c r="BR35" s="45">
        <f t="shared" si="16"/>
        <v>210</v>
      </c>
      <c r="BS35" s="70">
        <f t="shared" si="17"/>
        <v>35</v>
      </c>
      <c r="BT35" s="45" t="s">
        <v>375</v>
      </c>
      <c r="BU35" s="1"/>
    </row>
    <row r="36" spans="1:73" x14ac:dyDescent="0.25">
      <c r="A36" s="1">
        <v>31</v>
      </c>
      <c r="B36" s="14" t="s">
        <v>39</v>
      </c>
      <c r="C36" s="1">
        <v>7</v>
      </c>
      <c r="D36" s="1">
        <v>26</v>
      </c>
      <c r="E36" s="1">
        <v>13</v>
      </c>
      <c r="F36" s="1">
        <v>18</v>
      </c>
      <c r="G36" s="1">
        <v>47</v>
      </c>
      <c r="H36" s="1">
        <f t="shared" si="6"/>
        <v>111</v>
      </c>
      <c r="I36" s="1">
        <f t="shared" si="0"/>
        <v>56</v>
      </c>
      <c r="J36" s="1"/>
      <c r="K36" s="1">
        <v>13</v>
      </c>
      <c r="L36" s="1">
        <v>31</v>
      </c>
      <c r="M36" s="1">
        <v>16</v>
      </c>
      <c r="N36" s="1">
        <v>14</v>
      </c>
      <c r="O36" s="1">
        <v>45</v>
      </c>
      <c r="P36" s="1">
        <f t="shared" si="7"/>
        <v>119</v>
      </c>
      <c r="Q36" s="1">
        <f t="shared" si="8"/>
        <v>60</v>
      </c>
      <c r="R36" s="1"/>
      <c r="S36" s="1">
        <v>15</v>
      </c>
      <c r="T36" s="1">
        <v>39</v>
      </c>
      <c r="U36" s="1">
        <v>17</v>
      </c>
      <c r="V36" s="1">
        <v>17</v>
      </c>
      <c r="W36" s="1">
        <v>58</v>
      </c>
      <c r="X36" s="1">
        <f t="shared" si="9"/>
        <v>146</v>
      </c>
      <c r="Y36" s="1">
        <f t="shared" si="10"/>
        <v>73</v>
      </c>
      <c r="Z36" s="1"/>
      <c r="AA36" s="1">
        <v>19</v>
      </c>
      <c r="AB36" s="1">
        <v>42</v>
      </c>
      <c r="AC36" s="1">
        <v>11</v>
      </c>
      <c r="AD36" s="1">
        <v>18</v>
      </c>
      <c r="AE36" s="1">
        <v>57</v>
      </c>
      <c r="AF36" s="1">
        <f t="shared" si="11"/>
        <v>147</v>
      </c>
      <c r="AG36" s="1">
        <f t="shared" si="12"/>
        <v>74</v>
      </c>
      <c r="AH36" s="1"/>
      <c r="AI36" s="1">
        <v>19</v>
      </c>
      <c r="AJ36" s="1">
        <v>30</v>
      </c>
      <c r="AK36" s="1">
        <v>10</v>
      </c>
      <c r="AL36" s="1">
        <v>17</v>
      </c>
      <c r="AM36" s="1">
        <v>42</v>
      </c>
      <c r="AN36" s="1">
        <f t="shared" si="13"/>
        <v>118</v>
      </c>
      <c r="AO36" s="1">
        <f t="shared" si="14"/>
        <v>59</v>
      </c>
      <c r="AP36" s="1"/>
      <c r="AQ36" s="1">
        <v>13</v>
      </c>
      <c r="AR36" s="1">
        <v>20</v>
      </c>
      <c r="AS36" s="1">
        <v>7</v>
      </c>
      <c r="AT36" s="1">
        <v>23</v>
      </c>
      <c r="AU36" s="1">
        <v>5</v>
      </c>
      <c r="AV36" s="1">
        <v>23</v>
      </c>
      <c r="AW36" s="1">
        <v>9.5</v>
      </c>
      <c r="AX36" s="1">
        <v>32</v>
      </c>
      <c r="AY36" s="1">
        <f t="shared" si="21"/>
        <v>18</v>
      </c>
      <c r="AZ36" s="1">
        <f t="shared" si="22"/>
        <v>43</v>
      </c>
      <c r="BA36" s="1">
        <f t="shared" si="20"/>
        <v>17</v>
      </c>
      <c r="BB36" s="1">
        <v>13</v>
      </c>
      <c r="BC36" s="1">
        <f t="shared" si="4"/>
        <v>55</v>
      </c>
      <c r="BD36" s="1">
        <f t="shared" si="15"/>
        <v>146</v>
      </c>
      <c r="BE36" s="1">
        <f t="shared" si="19"/>
        <v>73</v>
      </c>
      <c r="BF36" s="1"/>
      <c r="BG36" s="1"/>
      <c r="BH36" s="1"/>
      <c r="BI36" s="1"/>
      <c r="BJ36" s="1"/>
      <c r="BK36" s="1"/>
      <c r="BL36" s="1"/>
      <c r="BM36" s="1"/>
      <c r="BN36" s="1"/>
      <c r="BO36" s="1" t="s">
        <v>371</v>
      </c>
      <c r="BP36" s="1" t="s">
        <v>372</v>
      </c>
      <c r="BQ36" s="43">
        <f t="shared" si="5"/>
        <v>0</v>
      </c>
      <c r="BR36" s="45">
        <f t="shared" si="16"/>
        <v>395</v>
      </c>
      <c r="BS36" s="70">
        <f t="shared" si="17"/>
        <v>65.833333333333329</v>
      </c>
      <c r="BT36" s="45" t="str">
        <f t="shared" si="18"/>
        <v>GRADE I</v>
      </c>
      <c r="BU36" s="1"/>
    </row>
    <row r="37" spans="1:73" x14ac:dyDescent="0.25">
      <c r="A37" s="1">
        <v>32</v>
      </c>
      <c r="B37" s="12" t="s">
        <v>40</v>
      </c>
      <c r="C37" s="1">
        <v>7</v>
      </c>
      <c r="D37" s="1">
        <v>17</v>
      </c>
      <c r="E37" s="1">
        <v>10</v>
      </c>
      <c r="F37" s="1">
        <v>17</v>
      </c>
      <c r="G37" s="1">
        <v>45</v>
      </c>
      <c r="H37" s="1">
        <f t="shared" si="6"/>
        <v>96</v>
      </c>
      <c r="I37" s="1">
        <f t="shared" si="0"/>
        <v>48</v>
      </c>
      <c r="J37" s="1"/>
      <c r="K37" s="1">
        <v>11</v>
      </c>
      <c r="L37" s="1">
        <v>30</v>
      </c>
      <c r="M37" s="1">
        <v>12</v>
      </c>
      <c r="N37" s="1">
        <v>13</v>
      </c>
      <c r="O37" s="1">
        <v>32</v>
      </c>
      <c r="P37" s="1">
        <f t="shared" si="7"/>
        <v>98</v>
      </c>
      <c r="Q37" s="1">
        <f t="shared" si="8"/>
        <v>49</v>
      </c>
      <c r="R37" s="1"/>
      <c r="S37" s="1">
        <v>17</v>
      </c>
      <c r="T37" s="1">
        <v>30</v>
      </c>
      <c r="U37" s="1">
        <v>4</v>
      </c>
      <c r="V37" s="1">
        <v>14</v>
      </c>
      <c r="W37" s="1">
        <v>41</v>
      </c>
      <c r="X37" s="1">
        <f t="shared" si="9"/>
        <v>106</v>
      </c>
      <c r="Y37" s="1">
        <f t="shared" si="10"/>
        <v>53</v>
      </c>
      <c r="Z37" s="1"/>
      <c r="AA37" s="1">
        <v>13</v>
      </c>
      <c r="AB37" s="1">
        <v>12</v>
      </c>
      <c r="AC37" s="1">
        <v>6</v>
      </c>
      <c r="AD37" s="1">
        <v>11</v>
      </c>
      <c r="AE37" s="1">
        <v>19</v>
      </c>
      <c r="AF37" s="1">
        <f t="shared" si="11"/>
        <v>61</v>
      </c>
      <c r="AG37" s="1">
        <f t="shared" si="12"/>
        <v>31</v>
      </c>
      <c r="AH37" s="1">
        <v>4</v>
      </c>
      <c r="AI37" s="1">
        <v>11</v>
      </c>
      <c r="AJ37" s="1">
        <v>26</v>
      </c>
      <c r="AK37" s="1">
        <v>9</v>
      </c>
      <c r="AL37" s="1">
        <v>16</v>
      </c>
      <c r="AM37" s="1">
        <v>45</v>
      </c>
      <c r="AN37" s="1">
        <f t="shared" si="13"/>
        <v>107</v>
      </c>
      <c r="AO37" s="1">
        <f t="shared" si="14"/>
        <v>54</v>
      </c>
      <c r="AP37" s="1"/>
      <c r="AQ37" s="1">
        <v>8</v>
      </c>
      <c r="AR37" s="1">
        <v>4</v>
      </c>
      <c r="AS37" s="1">
        <v>4</v>
      </c>
      <c r="AT37" s="1">
        <v>12</v>
      </c>
      <c r="AU37" s="1">
        <v>7</v>
      </c>
      <c r="AV37" s="1">
        <v>5.5</v>
      </c>
      <c r="AW37" s="1">
        <v>5</v>
      </c>
      <c r="AX37" s="1">
        <v>16</v>
      </c>
      <c r="AY37" s="1">
        <f t="shared" si="21"/>
        <v>15</v>
      </c>
      <c r="AZ37" s="1">
        <f t="shared" si="22"/>
        <v>10</v>
      </c>
      <c r="BA37" s="1">
        <f t="shared" si="20"/>
        <v>9</v>
      </c>
      <c r="BB37" s="1">
        <v>9</v>
      </c>
      <c r="BC37" s="1">
        <f t="shared" si="4"/>
        <v>28</v>
      </c>
      <c r="BD37" s="1">
        <f t="shared" si="15"/>
        <v>71</v>
      </c>
      <c r="BE37" s="1">
        <f t="shared" si="19"/>
        <v>36</v>
      </c>
      <c r="BF37" s="1"/>
      <c r="BG37" s="1"/>
      <c r="BH37" s="1"/>
      <c r="BI37" s="1"/>
      <c r="BJ37" s="1"/>
      <c r="BK37" s="1"/>
      <c r="BL37" s="1"/>
      <c r="BM37" s="1"/>
      <c r="BN37" s="1"/>
      <c r="BO37" s="1" t="s">
        <v>372</v>
      </c>
      <c r="BP37" s="1" t="s">
        <v>372</v>
      </c>
      <c r="BQ37" s="43">
        <f t="shared" si="5"/>
        <v>4</v>
      </c>
      <c r="BR37" s="45">
        <f t="shared" si="16"/>
        <v>271</v>
      </c>
      <c r="BS37" s="70">
        <f t="shared" si="17"/>
        <v>45.166666666666664</v>
      </c>
      <c r="BT37" s="45" t="s">
        <v>375</v>
      </c>
      <c r="BU37" s="1"/>
    </row>
    <row r="38" spans="1:73" x14ac:dyDescent="0.25">
      <c r="A38" s="1">
        <v>33</v>
      </c>
      <c r="B38" s="12" t="s">
        <v>41</v>
      </c>
      <c r="C38" s="1">
        <v>9</v>
      </c>
      <c r="D38" s="1">
        <v>13</v>
      </c>
      <c r="E38" s="1">
        <v>10</v>
      </c>
      <c r="F38" s="1">
        <v>14</v>
      </c>
      <c r="G38" s="1">
        <v>39</v>
      </c>
      <c r="H38" s="1">
        <f t="shared" si="6"/>
        <v>85</v>
      </c>
      <c r="I38" s="1">
        <f t="shared" si="0"/>
        <v>43</v>
      </c>
      <c r="J38" s="1"/>
      <c r="K38" s="1">
        <v>11</v>
      </c>
      <c r="L38" s="1">
        <v>20</v>
      </c>
      <c r="M38" s="1">
        <v>9</v>
      </c>
      <c r="N38" s="1">
        <v>12</v>
      </c>
      <c r="O38" s="1">
        <v>42</v>
      </c>
      <c r="P38" s="1">
        <f t="shared" si="7"/>
        <v>94</v>
      </c>
      <c r="Q38" s="1">
        <f t="shared" si="8"/>
        <v>47</v>
      </c>
      <c r="R38" s="1"/>
      <c r="S38" s="1">
        <v>16</v>
      </c>
      <c r="T38" s="1">
        <v>20</v>
      </c>
      <c r="U38" s="1">
        <v>11</v>
      </c>
      <c r="V38" s="1">
        <v>18</v>
      </c>
      <c r="W38" s="1">
        <v>38</v>
      </c>
      <c r="X38" s="1">
        <f t="shared" si="9"/>
        <v>103</v>
      </c>
      <c r="Y38" s="1">
        <f t="shared" si="10"/>
        <v>52</v>
      </c>
      <c r="Z38" s="1"/>
      <c r="AA38" s="1">
        <v>13</v>
      </c>
      <c r="AB38" s="1">
        <v>18</v>
      </c>
      <c r="AC38" s="1">
        <v>10</v>
      </c>
      <c r="AD38" s="1">
        <v>13</v>
      </c>
      <c r="AE38" s="1">
        <v>32</v>
      </c>
      <c r="AF38" s="1">
        <f t="shared" si="11"/>
        <v>86</v>
      </c>
      <c r="AG38" s="1">
        <f t="shared" si="12"/>
        <v>43</v>
      </c>
      <c r="AH38" s="1"/>
      <c r="AI38" s="1">
        <v>8</v>
      </c>
      <c r="AJ38" s="1">
        <v>25</v>
      </c>
      <c r="AK38" s="1">
        <v>10</v>
      </c>
      <c r="AL38" s="1">
        <v>13</v>
      </c>
      <c r="AM38" s="1">
        <v>37</v>
      </c>
      <c r="AN38" s="1">
        <f t="shared" si="13"/>
        <v>93</v>
      </c>
      <c r="AO38" s="1">
        <f t="shared" si="14"/>
        <v>47</v>
      </c>
      <c r="AP38" s="1"/>
      <c r="AQ38" s="1">
        <v>6</v>
      </c>
      <c r="AR38" s="1">
        <v>9.5</v>
      </c>
      <c r="AS38" s="1">
        <v>4</v>
      </c>
      <c r="AT38" s="1">
        <v>12</v>
      </c>
      <c r="AU38" s="1">
        <v>5.5</v>
      </c>
      <c r="AV38" s="1">
        <v>8</v>
      </c>
      <c r="AW38" s="1">
        <v>3.5</v>
      </c>
      <c r="AX38" s="1">
        <v>10</v>
      </c>
      <c r="AY38" s="1">
        <f t="shared" si="21"/>
        <v>12</v>
      </c>
      <c r="AZ38" s="1">
        <f t="shared" si="22"/>
        <v>18</v>
      </c>
      <c r="BA38" s="1">
        <f t="shared" si="20"/>
        <v>8</v>
      </c>
      <c r="BB38" s="1">
        <v>10</v>
      </c>
      <c r="BC38" s="1">
        <f t="shared" ref="BC38:BC69" si="23">ROUND(AT38+AX38,0)</f>
        <v>22</v>
      </c>
      <c r="BD38" s="1">
        <f t="shared" si="15"/>
        <v>70</v>
      </c>
      <c r="BE38" s="1">
        <f t="shared" si="19"/>
        <v>35</v>
      </c>
      <c r="BF38" s="1"/>
      <c r="BG38" s="1"/>
      <c r="BH38" s="1"/>
      <c r="BI38" s="1"/>
      <c r="BJ38" s="1"/>
      <c r="BK38" s="1"/>
      <c r="BL38" s="1"/>
      <c r="BM38" s="1"/>
      <c r="BN38" s="1"/>
      <c r="BO38" s="1" t="s">
        <v>371</v>
      </c>
      <c r="BP38" s="1" t="s">
        <v>371</v>
      </c>
      <c r="BQ38" s="43">
        <f t="shared" si="5"/>
        <v>0</v>
      </c>
      <c r="BR38" s="45">
        <f t="shared" si="16"/>
        <v>267</v>
      </c>
      <c r="BS38" s="70">
        <f t="shared" si="17"/>
        <v>44.5</v>
      </c>
      <c r="BT38" s="45" t="str">
        <f t="shared" si="18"/>
        <v>PASS</v>
      </c>
      <c r="BU38" s="1"/>
    </row>
    <row r="39" spans="1:73" x14ac:dyDescent="0.25">
      <c r="A39" s="1">
        <v>34</v>
      </c>
      <c r="B39" s="12" t="s">
        <v>42</v>
      </c>
      <c r="C39" s="1">
        <v>9</v>
      </c>
      <c r="D39" s="1">
        <v>24</v>
      </c>
      <c r="E39" s="1">
        <v>8</v>
      </c>
      <c r="F39" s="1">
        <v>16</v>
      </c>
      <c r="G39" s="1">
        <v>41</v>
      </c>
      <c r="H39" s="1">
        <f t="shared" si="6"/>
        <v>98</v>
      </c>
      <c r="I39" s="1">
        <f t="shared" si="0"/>
        <v>49</v>
      </c>
      <c r="J39" s="1"/>
      <c r="K39" s="1">
        <v>11</v>
      </c>
      <c r="L39" s="1">
        <v>26</v>
      </c>
      <c r="M39" s="1">
        <v>13</v>
      </c>
      <c r="N39" s="1">
        <v>13</v>
      </c>
      <c r="O39" s="1">
        <v>42</v>
      </c>
      <c r="P39" s="1">
        <f t="shared" si="7"/>
        <v>105</v>
      </c>
      <c r="Q39" s="1">
        <f t="shared" si="8"/>
        <v>53</v>
      </c>
      <c r="R39" s="1"/>
      <c r="S39" s="1">
        <v>16</v>
      </c>
      <c r="T39" s="1">
        <v>33</v>
      </c>
      <c r="U39" s="1">
        <v>3</v>
      </c>
      <c r="V39" s="1">
        <v>13</v>
      </c>
      <c r="W39" s="1">
        <v>37</v>
      </c>
      <c r="X39" s="1">
        <f t="shared" si="9"/>
        <v>102</v>
      </c>
      <c r="Y39" s="1">
        <f t="shared" si="10"/>
        <v>51</v>
      </c>
      <c r="Z39" s="1"/>
      <c r="AA39" s="1">
        <v>16</v>
      </c>
      <c r="AB39" s="1">
        <v>14</v>
      </c>
      <c r="AC39" s="1">
        <v>10</v>
      </c>
      <c r="AD39" s="1">
        <v>14</v>
      </c>
      <c r="AE39" s="1">
        <v>29</v>
      </c>
      <c r="AF39" s="1">
        <f t="shared" si="11"/>
        <v>83</v>
      </c>
      <c r="AG39" s="1">
        <f t="shared" si="12"/>
        <v>42</v>
      </c>
      <c r="AH39" s="1"/>
      <c r="AI39" s="1">
        <v>10</v>
      </c>
      <c r="AJ39" s="1">
        <v>19</v>
      </c>
      <c r="AK39" s="1">
        <v>8</v>
      </c>
      <c r="AL39" s="1">
        <v>17</v>
      </c>
      <c r="AM39" s="1">
        <v>29</v>
      </c>
      <c r="AN39" s="1">
        <f t="shared" si="13"/>
        <v>83</v>
      </c>
      <c r="AO39" s="1">
        <f t="shared" si="14"/>
        <v>42</v>
      </c>
      <c r="AP39" s="1"/>
      <c r="AQ39" s="1">
        <v>3</v>
      </c>
      <c r="AR39" s="1">
        <v>2</v>
      </c>
      <c r="AS39" s="1">
        <v>4.5</v>
      </c>
      <c r="AT39" s="1">
        <v>21</v>
      </c>
      <c r="AU39" s="1">
        <v>6</v>
      </c>
      <c r="AV39" s="1">
        <v>7.5</v>
      </c>
      <c r="AW39" s="1">
        <v>4.5</v>
      </c>
      <c r="AX39" s="1">
        <v>14</v>
      </c>
      <c r="AY39" s="1">
        <f t="shared" si="21"/>
        <v>9</v>
      </c>
      <c r="AZ39" s="1">
        <f t="shared" si="22"/>
        <v>10</v>
      </c>
      <c r="BA39" s="1">
        <f t="shared" si="20"/>
        <v>9</v>
      </c>
      <c r="BB39" s="1">
        <v>10</v>
      </c>
      <c r="BC39" s="1">
        <f t="shared" si="23"/>
        <v>35</v>
      </c>
      <c r="BD39" s="1">
        <f t="shared" si="15"/>
        <v>73</v>
      </c>
      <c r="BE39" s="1">
        <f t="shared" si="19"/>
        <v>37</v>
      </c>
      <c r="BF39" s="1"/>
      <c r="BG39" s="1"/>
      <c r="BH39" s="1"/>
      <c r="BI39" s="1"/>
      <c r="BJ39" s="1"/>
      <c r="BK39" s="1"/>
      <c r="BL39" s="1"/>
      <c r="BM39" s="1"/>
      <c r="BN39" s="1"/>
      <c r="BO39" s="1" t="s">
        <v>371</v>
      </c>
      <c r="BP39" s="1" t="s">
        <v>372</v>
      </c>
      <c r="BQ39" s="43">
        <f t="shared" si="5"/>
        <v>0</v>
      </c>
      <c r="BR39" s="45">
        <f t="shared" si="16"/>
        <v>274</v>
      </c>
      <c r="BS39" s="70">
        <f t="shared" si="17"/>
        <v>45.666666666666664</v>
      </c>
      <c r="BT39" s="45" t="str">
        <f t="shared" si="18"/>
        <v>GRADE II</v>
      </c>
      <c r="BU39" s="1"/>
    </row>
    <row r="40" spans="1:73" x14ac:dyDescent="0.25">
      <c r="A40" s="1">
        <v>35</v>
      </c>
      <c r="B40" s="12" t="s">
        <v>43</v>
      </c>
      <c r="C40" s="1">
        <v>6</v>
      </c>
      <c r="D40" s="1">
        <v>14</v>
      </c>
      <c r="E40" s="1">
        <v>3</v>
      </c>
      <c r="F40" s="1">
        <v>14</v>
      </c>
      <c r="G40" s="1">
        <v>34</v>
      </c>
      <c r="H40" s="1">
        <f t="shared" si="6"/>
        <v>71</v>
      </c>
      <c r="I40" s="1">
        <f t="shared" si="0"/>
        <v>36</v>
      </c>
      <c r="J40" s="1"/>
      <c r="K40" s="1">
        <v>16</v>
      </c>
      <c r="L40" s="1">
        <v>28</v>
      </c>
      <c r="M40" s="1">
        <v>16</v>
      </c>
      <c r="N40" s="1">
        <v>12</v>
      </c>
      <c r="O40" s="1">
        <v>42</v>
      </c>
      <c r="P40" s="1">
        <f t="shared" si="7"/>
        <v>114</v>
      </c>
      <c r="Q40" s="1">
        <f t="shared" si="8"/>
        <v>57</v>
      </c>
      <c r="R40" s="1"/>
      <c r="S40" s="1">
        <v>14</v>
      </c>
      <c r="T40" s="1">
        <v>19</v>
      </c>
      <c r="U40" s="1">
        <v>10</v>
      </c>
      <c r="V40" s="1">
        <v>14</v>
      </c>
      <c r="W40" s="1">
        <v>36</v>
      </c>
      <c r="X40" s="1">
        <f t="shared" si="9"/>
        <v>93</v>
      </c>
      <c r="Y40" s="1">
        <f t="shared" si="10"/>
        <v>47</v>
      </c>
      <c r="Z40" s="1"/>
      <c r="AA40" s="1">
        <v>11</v>
      </c>
      <c r="AB40" s="1">
        <v>16</v>
      </c>
      <c r="AC40" s="1">
        <v>20</v>
      </c>
      <c r="AD40" s="1">
        <v>15</v>
      </c>
      <c r="AE40" s="1">
        <v>34</v>
      </c>
      <c r="AF40" s="1">
        <f t="shared" si="11"/>
        <v>96</v>
      </c>
      <c r="AG40" s="1">
        <f t="shared" si="12"/>
        <v>48</v>
      </c>
      <c r="AH40" s="1"/>
      <c r="AI40" s="1">
        <v>16</v>
      </c>
      <c r="AJ40" s="1">
        <v>13</v>
      </c>
      <c r="AK40" s="1">
        <v>12</v>
      </c>
      <c r="AL40" s="1">
        <v>14</v>
      </c>
      <c r="AM40" s="1">
        <v>22</v>
      </c>
      <c r="AN40" s="1">
        <f t="shared" si="13"/>
        <v>77</v>
      </c>
      <c r="AO40" s="1">
        <f t="shared" si="14"/>
        <v>39</v>
      </c>
      <c r="AP40" s="1"/>
      <c r="AQ40" s="1">
        <v>2</v>
      </c>
      <c r="AR40" s="1">
        <v>9</v>
      </c>
      <c r="AS40" s="1">
        <v>5</v>
      </c>
      <c r="AT40" s="1">
        <v>33</v>
      </c>
      <c r="AU40" s="1">
        <v>2</v>
      </c>
      <c r="AV40" s="1">
        <v>8</v>
      </c>
      <c r="AW40" s="1">
        <v>3</v>
      </c>
      <c r="AX40" s="1">
        <v>16</v>
      </c>
      <c r="AY40" s="1">
        <f t="shared" si="21"/>
        <v>4</v>
      </c>
      <c r="AZ40" s="1">
        <f t="shared" si="22"/>
        <v>17</v>
      </c>
      <c r="BA40" s="1">
        <f t="shared" si="20"/>
        <v>8</v>
      </c>
      <c r="BB40" s="1">
        <v>8</v>
      </c>
      <c r="BC40" s="1">
        <f t="shared" si="23"/>
        <v>49</v>
      </c>
      <c r="BD40" s="1">
        <f t="shared" si="15"/>
        <v>86</v>
      </c>
      <c r="BE40" s="1">
        <f t="shared" si="19"/>
        <v>43</v>
      </c>
      <c r="BF40" s="1"/>
      <c r="BG40" s="1"/>
      <c r="BH40" s="1"/>
      <c r="BI40" s="1"/>
      <c r="BJ40" s="1"/>
      <c r="BK40" s="1"/>
      <c r="BL40" s="1"/>
      <c r="BM40" s="1"/>
      <c r="BN40" s="1"/>
      <c r="BO40" s="1" t="s">
        <v>371</v>
      </c>
      <c r="BP40" s="1" t="s">
        <v>372</v>
      </c>
      <c r="BQ40" s="43">
        <f t="shared" si="5"/>
        <v>0</v>
      </c>
      <c r="BR40" s="45">
        <f t="shared" si="16"/>
        <v>270</v>
      </c>
      <c r="BS40" s="70">
        <f t="shared" si="17"/>
        <v>45</v>
      </c>
      <c r="BT40" s="45" t="str">
        <f t="shared" si="18"/>
        <v>GRADE II</v>
      </c>
      <c r="BU40" s="1"/>
    </row>
    <row r="41" spans="1:73" x14ac:dyDescent="0.25">
      <c r="A41" s="1">
        <v>36</v>
      </c>
      <c r="B41" s="12" t="s">
        <v>44</v>
      </c>
      <c r="C41" s="1">
        <v>16</v>
      </c>
      <c r="D41" s="1">
        <v>24</v>
      </c>
      <c r="E41" s="1">
        <v>13</v>
      </c>
      <c r="F41" s="1">
        <v>14</v>
      </c>
      <c r="G41" s="1">
        <v>46</v>
      </c>
      <c r="H41" s="1">
        <f t="shared" si="6"/>
        <v>113</v>
      </c>
      <c r="I41" s="1">
        <f t="shared" si="0"/>
        <v>57</v>
      </c>
      <c r="J41" s="1"/>
      <c r="K41" s="1">
        <v>17</v>
      </c>
      <c r="L41" s="1">
        <v>29</v>
      </c>
      <c r="M41" s="1">
        <v>14</v>
      </c>
      <c r="N41" s="1">
        <v>13</v>
      </c>
      <c r="O41" s="1">
        <v>51</v>
      </c>
      <c r="P41" s="1">
        <f t="shared" si="7"/>
        <v>124</v>
      </c>
      <c r="Q41" s="1">
        <f t="shared" si="8"/>
        <v>62</v>
      </c>
      <c r="R41" s="1"/>
      <c r="S41" s="1">
        <v>17</v>
      </c>
      <c r="T41" s="1">
        <v>39</v>
      </c>
      <c r="U41" s="1">
        <v>20</v>
      </c>
      <c r="V41" s="1">
        <v>18</v>
      </c>
      <c r="W41" s="1">
        <v>59</v>
      </c>
      <c r="X41" s="1">
        <f t="shared" si="9"/>
        <v>153</v>
      </c>
      <c r="Y41" s="1">
        <f t="shared" si="10"/>
        <v>77</v>
      </c>
      <c r="Z41" s="1"/>
      <c r="AA41" s="1">
        <v>13</v>
      </c>
      <c r="AB41" s="1">
        <v>20</v>
      </c>
      <c r="AC41" s="1">
        <v>15</v>
      </c>
      <c r="AD41" s="1">
        <v>17</v>
      </c>
      <c r="AE41" s="1">
        <v>54</v>
      </c>
      <c r="AF41" s="1">
        <f t="shared" si="11"/>
        <v>119</v>
      </c>
      <c r="AG41" s="1">
        <f t="shared" si="12"/>
        <v>60</v>
      </c>
      <c r="AH41" s="1"/>
      <c r="AI41" s="1">
        <v>14</v>
      </c>
      <c r="AJ41" s="1">
        <v>40</v>
      </c>
      <c r="AK41" s="1">
        <v>12</v>
      </c>
      <c r="AL41" s="1">
        <v>17</v>
      </c>
      <c r="AM41" s="1">
        <v>66</v>
      </c>
      <c r="AN41" s="1">
        <f t="shared" si="13"/>
        <v>149</v>
      </c>
      <c r="AO41" s="1">
        <f t="shared" si="14"/>
        <v>75</v>
      </c>
      <c r="AP41" s="1"/>
      <c r="AQ41" s="1">
        <v>3</v>
      </c>
      <c r="AR41" s="1">
        <v>5</v>
      </c>
      <c r="AS41" s="1">
        <v>2</v>
      </c>
      <c r="AT41" s="1">
        <v>13</v>
      </c>
      <c r="AU41" s="1">
        <v>5.5</v>
      </c>
      <c r="AV41" s="1">
        <v>9</v>
      </c>
      <c r="AW41" s="1">
        <v>1</v>
      </c>
      <c r="AX41" s="1">
        <v>13</v>
      </c>
      <c r="AY41" s="1">
        <f t="shared" si="21"/>
        <v>9</v>
      </c>
      <c r="AZ41" s="1">
        <f t="shared" si="22"/>
        <v>14</v>
      </c>
      <c r="BA41" s="1">
        <f t="shared" si="20"/>
        <v>3</v>
      </c>
      <c r="BB41" s="1">
        <v>5</v>
      </c>
      <c r="BC41" s="1">
        <f t="shared" si="23"/>
        <v>26</v>
      </c>
      <c r="BD41" s="1">
        <f t="shared" si="15"/>
        <v>57</v>
      </c>
      <c r="BE41" s="1">
        <f t="shared" si="19"/>
        <v>29</v>
      </c>
      <c r="BF41" s="1">
        <v>6</v>
      </c>
      <c r="BG41" s="1"/>
      <c r="BH41" s="1"/>
      <c r="BI41" s="1"/>
      <c r="BJ41" s="1"/>
      <c r="BK41" s="1"/>
      <c r="BL41" s="1"/>
      <c r="BM41" s="1"/>
      <c r="BN41" s="1"/>
      <c r="BO41" s="1" t="s">
        <v>371</v>
      </c>
      <c r="BP41" s="1" t="s">
        <v>372</v>
      </c>
      <c r="BQ41" s="43">
        <f t="shared" si="5"/>
        <v>6</v>
      </c>
      <c r="BR41" s="45">
        <f t="shared" si="16"/>
        <v>360</v>
      </c>
      <c r="BS41" s="70">
        <f t="shared" si="17"/>
        <v>60</v>
      </c>
      <c r="BT41" s="45" t="s">
        <v>375</v>
      </c>
      <c r="BU41" s="1"/>
    </row>
    <row r="42" spans="1:73" x14ac:dyDescent="0.25">
      <c r="A42" s="1">
        <v>37</v>
      </c>
      <c r="B42" s="10" t="s">
        <v>45</v>
      </c>
      <c r="C42" s="1">
        <v>12</v>
      </c>
      <c r="D42" s="1">
        <v>30</v>
      </c>
      <c r="E42" s="1">
        <v>12</v>
      </c>
      <c r="F42" s="1">
        <v>18</v>
      </c>
      <c r="G42" s="1">
        <v>47</v>
      </c>
      <c r="H42" s="1">
        <f t="shared" si="6"/>
        <v>119</v>
      </c>
      <c r="I42" s="1">
        <f t="shared" si="0"/>
        <v>60</v>
      </c>
      <c r="J42" s="1"/>
      <c r="K42" s="1">
        <v>13</v>
      </c>
      <c r="L42" s="1">
        <v>38</v>
      </c>
      <c r="M42" s="1">
        <v>18</v>
      </c>
      <c r="N42" s="1">
        <v>15</v>
      </c>
      <c r="O42" s="1">
        <v>54</v>
      </c>
      <c r="P42" s="1">
        <f t="shared" si="7"/>
        <v>138</v>
      </c>
      <c r="Q42" s="1">
        <f t="shared" si="8"/>
        <v>69</v>
      </c>
      <c r="R42" s="1"/>
      <c r="S42" s="1">
        <v>21</v>
      </c>
      <c r="T42" s="1">
        <v>47</v>
      </c>
      <c r="U42" s="1">
        <v>14</v>
      </c>
      <c r="V42" s="1">
        <v>18</v>
      </c>
      <c r="W42" s="1">
        <v>72</v>
      </c>
      <c r="X42" s="1">
        <f t="shared" si="9"/>
        <v>172</v>
      </c>
      <c r="Y42" s="1">
        <f t="shared" si="10"/>
        <v>86</v>
      </c>
      <c r="Z42" s="1"/>
      <c r="AA42" s="1">
        <v>16</v>
      </c>
      <c r="AB42" s="1">
        <v>26</v>
      </c>
      <c r="AC42" s="1">
        <v>10</v>
      </c>
      <c r="AD42" s="1">
        <v>16</v>
      </c>
      <c r="AE42" s="1">
        <v>40</v>
      </c>
      <c r="AF42" s="1">
        <f t="shared" si="11"/>
        <v>108</v>
      </c>
      <c r="AG42" s="1">
        <f t="shared" si="12"/>
        <v>54</v>
      </c>
      <c r="AH42" s="1"/>
      <c r="AI42" s="1">
        <v>20</v>
      </c>
      <c r="AJ42" s="1">
        <v>46</v>
      </c>
      <c r="AK42" s="1">
        <v>16</v>
      </c>
      <c r="AL42" s="1">
        <v>18</v>
      </c>
      <c r="AM42" s="1">
        <v>64</v>
      </c>
      <c r="AN42" s="1">
        <f t="shared" si="13"/>
        <v>164</v>
      </c>
      <c r="AO42" s="1">
        <f t="shared" si="14"/>
        <v>82</v>
      </c>
      <c r="AP42" s="1"/>
      <c r="AQ42" s="1">
        <v>10</v>
      </c>
      <c r="AR42" s="1">
        <v>15</v>
      </c>
      <c r="AS42" s="1">
        <v>3.5</v>
      </c>
      <c r="AT42" s="1">
        <v>25</v>
      </c>
      <c r="AU42" s="1">
        <v>8.5</v>
      </c>
      <c r="AV42" s="1">
        <v>19.5</v>
      </c>
      <c r="AW42" s="1">
        <v>4</v>
      </c>
      <c r="AX42" s="1">
        <v>29</v>
      </c>
      <c r="AY42" s="1">
        <f t="shared" si="21"/>
        <v>19</v>
      </c>
      <c r="AZ42" s="1">
        <f t="shared" si="22"/>
        <v>35</v>
      </c>
      <c r="BA42" s="1">
        <f t="shared" si="20"/>
        <v>8</v>
      </c>
      <c r="BB42" s="1">
        <v>5</v>
      </c>
      <c r="BC42" s="1">
        <f t="shared" si="23"/>
        <v>54</v>
      </c>
      <c r="BD42" s="1">
        <f t="shared" si="15"/>
        <v>121</v>
      </c>
      <c r="BE42" s="1">
        <f t="shared" si="19"/>
        <v>61</v>
      </c>
      <c r="BF42" s="1"/>
      <c r="BG42" s="1"/>
      <c r="BH42" s="1"/>
      <c r="BI42" s="1"/>
      <c r="BJ42" s="1"/>
      <c r="BK42" s="1"/>
      <c r="BL42" s="1"/>
      <c r="BM42" s="1"/>
      <c r="BN42" s="1"/>
      <c r="BO42" s="1" t="s">
        <v>371</v>
      </c>
      <c r="BP42" s="1" t="s">
        <v>372</v>
      </c>
      <c r="BQ42" s="43">
        <f t="shared" si="5"/>
        <v>0</v>
      </c>
      <c r="BR42" s="45">
        <f t="shared" si="16"/>
        <v>412</v>
      </c>
      <c r="BS42" s="70">
        <f t="shared" si="17"/>
        <v>68.666666666666671</v>
      </c>
      <c r="BT42" s="45" t="str">
        <f t="shared" si="18"/>
        <v>GRADE I</v>
      </c>
      <c r="BU42" s="1"/>
    </row>
    <row r="43" spans="1:73" x14ac:dyDescent="0.25">
      <c r="A43" s="1">
        <v>38</v>
      </c>
      <c r="B43" s="12" t="s">
        <v>46</v>
      </c>
      <c r="C43" s="1">
        <v>6</v>
      </c>
      <c r="D43" s="1">
        <v>11</v>
      </c>
      <c r="E43" s="1">
        <v>8</v>
      </c>
      <c r="F43" s="1">
        <v>17</v>
      </c>
      <c r="G43" s="1">
        <v>32</v>
      </c>
      <c r="H43" s="1">
        <f t="shared" si="6"/>
        <v>74</v>
      </c>
      <c r="I43" s="1">
        <f t="shared" si="0"/>
        <v>37</v>
      </c>
      <c r="J43" s="1"/>
      <c r="K43" s="1">
        <v>13</v>
      </c>
      <c r="L43" s="1">
        <v>29</v>
      </c>
      <c r="M43" s="1">
        <v>14</v>
      </c>
      <c r="N43" s="1">
        <v>14</v>
      </c>
      <c r="O43" s="1">
        <v>39</v>
      </c>
      <c r="P43" s="1">
        <f t="shared" si="7"/>
        <v>109</v>
      </c>
      <c r="Q43" s="1">
        <f t="shared" si="8"/>
        <v>55</v>
      </c>
      <c r="R43" s="1"/>
      <c r="S43" s="1">
        <v>14</v>
      </c>
      <c r="T43" s="1">
        <v>24</v>
      </c>
      <c r="U43" s="1">
        <v>14</v>
      </c>
      <c r="V43" s="1">
        <v>17</v>
      </c>
      <c r="W43" s="1">
        <v>49</v>
      </c>
      <c r="X43" s="1">
        <f t="shared" si="9"/>
        <v>118</v>
      </c>
      <c r="Y43" s="1">
        <f t="shared" si="10"/>
        <v>59</v>
      </c>
      <c r="Z43" s="1"/>
      <c r="AA43" s="1">
        <v>15</v>
      </c>
      <c r="AB43" s="1">
        <v>13</v>
      </c>
      <c r="AC43" s="1">
        <v>7</v>
      </c>
      <c r="AD43" s="1">
        <v>14</v>
      </c>
      <c r="AE43" s="1">
        <v>38</v>
      </c>
      <c r="AF43" s="1">
        <f t="shared" si="11"/>
        <v>87</v>
      </c>
      <c r="AG43" s="1">
        <f t="shared" si="12"/>
        <v>44</v>
      </c>
      <c r="AH43" s="1"/>
      <c r="AI43" s="1">
        <v>10</v>
      </c>
      <c r="AJ43" s="1">
        <v>18</v>
      </c>
      <c r="AK43" s="1">
        <v>10</v>
      </c>
      <c r="AL43" s="1">
        <v>18</v>
      </c>
      <c r="AM43" s="1">
        <v>54</v>
      </c>
      <c r="AN43" s="1">
        <f t="shared" si="13"/>
        <v>110</v>
      </c>
      <c r="AO43" s="1">
        <f t="shared" si="14"/>
        <v>55</v>
      </c>
      <c r="AP43" s="1"/>
      <c r="AQ43" s="1">
        <v>6</v>
      </c>
      <c r="AR43" s="1">
        <v>11.5</v>
      </c>
      <c r="AS43" s="1">
        <v>0</v>
      </c>
      <c r="AT43" s="1">
        <v>14</v>
      </c>
      <c r="AU43" s="1">
        <v>3.5</v>
      </c>
      <c r="AV43" s="1">
        <v>5</v>
      </c>
      <c r="AW43" s="1">
        <v>3</v>
      </c>
      <c r="AX43" s="1">
        <v>18</v>
      </c>
      <c r="AY43" s="1">
        <f t="shared" si="21"/>
        <v>10</v>
      </c>
      <c r="AZ43" s="1">
        <f t="shared" si="22"/>
        <v>17</v>
      </c>
      <c r="BA43" s="1">
        <f t="shared" si="20"/>
        <v>3</v>
      </c>
      <c r="BB43" s="1">
        <v>6</v>
      </c>
      <c r="BC43" s="1">
        <f t="shared" si="23"/>
        <v>32</v>
      </c>
      <c r="BD43" s="1">
        <f t="shared" si="15"/>
        <v>68</v>
      </c>
      <c r="BE43" s="1">
        <f t="shared" si="19"/>
        <v>34</v>
      </c>
      <c r="BF43" s="1">
        <v>1</v>
      </c>
      <c r="BG43" s="1"/>
      <c r="BH43" s="1"/>
      <c r="BI43" s="1"/>
      <c r="BJ43" s="1"/>
      <c r="BK43" s="1"/>
      <c r="BL43" s="1"/>
      <c r="BM43" s="1"/>
      <c r="BN43" s="1"/>
      <c r="BO43" s="1" t="s">
        <v>371</v>
      </c>
      <c r="BP43" s="1" t="s">
        <v>371</v>
      </c>
      <c r="BQ43" s="43">
        <f t="shared" si="5"/>
        <v>1</v>
      </c>
      <c r="BR43" s="45">
        <f t="shared" si="16"/>
        <v>284</v>
      </c>
      <c r="BS43" s="70">
        <f t="shared" si="17"/>
        <v>47.333333333333336</v>
      </c>
      <c r="BT43" s="45" t="s">
        <v>375</v>
      </c>
      <c r="BU43" s="1"/>
    </row>
    <row r="44" spans="1:73" x14ac:dyDescent="0.25">
      <c r="A44" s="1">
        <v>39</v>
      </c>
      <c r="B44" s="12" t="s">
        <v>47</v>
      </c>
      <c r="C44" s="1">
        <v>12</v>
      </c>
      <c r="D44" s="1">
        <v>19</v>
      </c>
      <c r="E44" s="1">
        <v>11</v>
      </c>
      <c r="F44" s="1">
        <v>18</v>
      </c>
      <c r="G44" s="1">
        <v>48</v>
      </c>
      <c r="H44" s="1">
        <f t="shared" si="6"/>
        <v>108</v>
      </c>
      <c r="I44" s="1">
        <f t="shared" si="0"/>
        <v>54</v>
      </c>
      <c r="J44" s="1"/>
      <c r="K44" s="1">
        <v>17</v>
      </c>
      <c r="L44" s="1">
        <v>34</v>
      </c>
      <c r="M44" s="1">
        <v>17</v>
      </c>
      <c r="N44" s="1">
        <v>16</v>
      </c>
      <c r="O44" s="1">
        <v>48</v>
      </c>
      <c r="P44" s="1">
        <f t="shared" si="7"/>
        <v>132</v>
      </c>
      <c r="Q44" s="1">
        <f t="shared" si="8"/>
        <v>66</v>
      </c>
      <c r="R44" s="1"/>
      <c r="S44" s="1">
        <v>21</v>
      </c>
      <c r="T44" s="1">
        <v>35</v>
      </c>
      <c r="U44" s="1">
        <v>18</v>
      </c>
      <c r="V44" s="1">
        <v>14</v>
      </c>
      <c r="W44" s="1">
        <v>59</v>
      </c>
      <c r="X44" s="1">
        <f t="shared" si="9"/>
        <v>147</v>
      </c>
      <c r="Y44" s="1">
        <f t="shared" si="10"/>
        <v>74</v>
      </c>
      <c r="Z44" s="1"/>
      <c r="AA44" s="1">
        <v>15</v>
      </c>
      <c r="AB44" s="1">
        <v>27</v>
      </c>
      <c r="AC44" s="1">
        <v>11</v>
      </c>
      <c r="AD44" s="1">
        <v>14</v>
      </c>
      <c r="AE44" s="1">
        <v>45</v>
      </c>
      <c r="AF44" s="1">
        <f t="shared" si="11"/>
        <v>112</v>
      </c>
      <c r="AG44" s="1">
        <f t="shared" si="12"/>
        <v>56</v>
      </c>
      <c r="AH44" s="1"/>
      <c r="AI44" s="1">
        <v>16</v>
      </c>
      <c r="AJ44" s="1">
        <v>28</v>
      </c>
      <c r="AK44" s="1">
        <v>15</v>
      </c>
      <c r="AL44" s="1">
        <v>16</v>
      </c>
      <c r="AM44" s="1">
        <v>52</v>
      </c>
      <c r="AN44" s="1">
        <f t="shared" si="13"/>
        <v>127</v>
      </c>
      <c r="AO44" s="1">
        <f t="shared" si="14"/>
        <v>64</v>
      </c>
      <c r="AP44" s="1"/>
      <c r="AQ44" s="1">
        <v>10</v>
      </c>
      <c r="AR44" s="1">
        <v>22</v>
      </c>
      <c r="AS44" s="1">
        <v>8</v>
      </c>
      <c r="AT44" s="1">
        <v>26</v>
      </c>
      <c r="AU44" s="1">
        <v>6</v>
      </c>
      <c r="AV44" s="1">
        <v>13</v>
      </c>
      <c r="AW44" s="1">
        <v>2.5</v>
      </c>
      <c r="AX44" s="1">
        <v>20</v>
      </c>
      <c r="AY44" s="1">
        <f t="shared" si="21"/>
        <v>16</v>
      </c>
      <c r="AZ44" s="1">
        <f t="shared" si="22"/>
        <v>35</v>
      </c>
      <c r="BA44" s="1">
        <f t="shared" si="20"/>
        <v>11</v>
      </c>
      <c r="BB44" s="1">
        <v>14</v>
      </c>
      <c r="BC44" s="1">
        <f t="shared" si="23"/>
        <v>46</v>
      </c>
      <c r="BD44" s="1">
        <f t="shared" si="15"/>
        <v>122</v>
      </c>
      <c r="BE44" s="1">
        <f t="shared" si="19"/>
        <v>61</v>
      </c>
      <c r="BF44" s="1"/>
      <c r="BG44" s="1"/>
      <c r="BH44" s="1"/>
      <c r="BI44" s="1"/>
      <c r="BJ44" s="1"/>
      <c r="BK44" s="1"/>
      <c r="BL44" s="1"/>
      <c r="BM44" s="1"/>
      <c r="BN44" s="1"/>
      <c r="BO44" s="1" t="s">
        <v>371</v>
      </c>
      <c r="BP44" s="1" t="s">
        <v>371</v>
      </c>
      <c r="BQ44" s="43">
        <f t="shared" si="5"/>
        <v>0</v>
      </c>
      <c r="BR44" s="45">
        <f t="shared" si="16"/>
        <v>375</v>
      </c>
      <c r="BS44" s="70">
        <f t="shared" si="17"/>
        <v>62.5</v>
      </c>
      <c r="BT44" s="45" t="str">
        <f t="shared" si="18"/>
        <v>GRADE I</v>
      </c>
      <c r="BU44" s="1"/>
    </row>
    <row r="45" spans="1:73" s="82" customFormat="1" x14ac:dyDescent="0.25">
      <c r="A45" s="78">
        <v>40</v>
      </c>
      <c r="B45" s="79" t="s">
        <v>48</v>
      </c>
      <c r="C45" s="78">
        <v>11</v>
      </c>
      <c r="D45" s="78">
        <v>23</v>
      </c>
      <c r="E45" s="78">
        <v>10</v>
      </c>
      <c r="F45" s="78">
        <v>18</v>
      </c>
      <c r="G45" s="78">
        <v>45</v>
      </c>
      <c r="H45" s="78">
        <f t="shared" si="6"/>
        <v>107</v>
      </c>
      <c r="I45" s="78">
        <f t="shared" si="0"/>
        <v>54</v>
      </c>
      <c r="J45" s="78"/>
      <c r="K45" s="78">
        <v>10</v>
      </c>
      <c r="L45" s="78">
        <v>24</v>
      </c>
      <c r="M45" s="78" t="s">
        <v>248</v>
      </c>
      <c r="N45" s="78">
        <v>13</v>
      </c>
      <c r="O45" s="78">
        <v>35</v>
      </c>
      <c r="P45" s="78">
        <f t="shared" si="7"/>
        <v>82</v>
      </c>
      <c r="Q45" s="78">
        <f t="shared" si="8"/>
        <v>41</v>
      </c>
      <c r="R45" s="78"/>
      <c r="S45" s="78">
        <v>11</v>
      </c>
      <c r="T45" s="78">
        <v>27</v>
      </c>
      <c r="U45" s="78">
        <v>8</v>
      </c>
      <c r="V45" s="78">
        <v>16</v>
      </c>
      <c r="W45" s="78">
        <v>45</v>
      </c>
      <c r="X45" s="78">
        <f t="shared" si="9"/>
        <v>107</v>
      </c>
      <c r="Y45" s="78">
        <f t="shared" si="10"/>
        <v>54</v>
      </c>
      <c r="Z45" s="78"/>
      <c r="AA45" s="78">
        <v>9</v>
      </c>
      <c r="AB45" s="78">
        <v>8</v>
      </c>
      <c r="AC45" s="78" t="s">
        <v>248</v>
      </c>
      <c r="AD45" s="78">
        <v>16</v>
      </c>
      <c r="AE45" s="78">
        <v>26</v>
      </c>
      <c r="AF45" s="78">
        <f t="shared" si="11"/>
        <v>59</v>
      </c>
      <c r="AG45" s="78">
        <f t="shared" si="12"/>
        <v>30</v>
      </c>
      <c r="AH45" s="78">
        <v>5</v>
      </c>
      <c r="AI45" s="78">
        <v>9</v>
      </c>
      <c r="AJ45" s="78">
        <v>16</v>
      </c>
      <c r="AK45" s="78" t="s">
        <v>248</v>
      </c>
      <c r="AL45" s="78">
        <v>17</v>
      </c>
      <c r="AM45" s="78">
        <v>37</v>
      </c>
      <c r="AN45" s="78">
        <f t="shared" si="13"/>
        <v>79</v>
      </c>
      <c r="AO45" s="78">
        <f t="shared" si="14"/>
        <v>40</v>
      </c>
      <c r="AP45" s="78"/>
      <c r="AQ45" s="78">
        <v>3</v>
      </c>
      <c r="AR45" s="78">
        <v>9</v>
      </c>
      <c r="AS45" s="96" t="s">
        <v>248</v>
      </c>
      <c r="AT45" s="78">
        <v>13</v>
      </c>
      <c r="AU45" s="78">
        <v>1</v>
      </c>
      <c r="AV45" s="78">
        <v>6.5</v>
      </c>
      <c r="AW45" s="78" t="s">
        <v>248</v>
      </c>
      <c r="AX45" s="78">
        <v>8</v>
      </c>
      <c r="AY45" s="78">
        <f t="shared" si="21"/>
        <v>4</v>
      </c>
      <c r="AZ45" s="78">
        <f t="shared" si="22"/>
        <v>16</v>
      </c>
      <c r="BA45" s="78">
        <f t="shared" si="20"/>
        <v>0</v>
      </c>
      <c r="BB45" s="78">
        <v>9</v>
      </c>
      <c r="BC45" s="78">
        <f t="shared" si="23"/>
        <v>21</v>
      </c>
      <c r="BD45" s="78">
        <f t="shared" si="15"/>
        <v>50</v>
      </c>
      <c r="BE45" s="78">
        <f t="shared" si="19"/>
        <v>25</v>
      </c>
      <c r="BF45" s="78">
        <v>10</v>
      </c>
      <c r="BG45" s="78"/>
      <c r="BH45" s="78"/>
      <c r="BI45" s="78"/>
      <c r="BJ45" s="78"/>
      <c r="BK45" s="78"/>
      <c r="BL45" s="78"/>
      <c r="BM45" s="78"/>
      <c r="BN45" s="78"/>
      <c r="BO45" s="78" t="s">
        <v>371</v>
      </c>
      <c r="BP45" s="78" t="s">
        <v>372</v>
      </c>
      <c r="BQ45" s="95">
        <f t="shared" si="5"/>
        <v>15</v>
      </c>
      <c r="BR45" s="80">
        <f t="shared" si="16"/>
        <v>244</v>
      </c>
      <c r="BS45" s="81">
        <f t="shared" si="17"/>
        <v>40.666666666666664</v>
      </c>
      <c r="BT45" s="80" t="str">
        <f t="shared" si="18"/>
        <v>PASS</v>
      </c>
      <c r="BU45" s="78"/>
    </row>
    <row r="46" spans="1:73" x14ac:dyDescent="0.25">
      <c r="A46" s="1">
        <v>41</v>
      </c>
      <c r="B46" s="12" t="s">
        <v>49</v>
      </c>
      <c r="C46" s="1">
        <v>18</v>
      </c>
      <c r="D46" s="1">
        <v>27</v>
      </c>
      <c r="E46" s="1">
        <v>16</v>
      </c>
      <c r="F46" s="1">
        <v>14</v>
      </c>
      <c r="G46" s="1">
        <v>57</v>
      </c>
      <c r="H46" s="1">
        <f t="shared" si="6"/>
        <v>132</v>
      </c>
      <c r="I46" s="1">
        <f t="shared" si="0"/>
        <v>66</v>
      </c>
      <c r="J46" s="1"/>
      <c r="K46" s="1">
        <v>15</v>
      </c>
      <c r="L46" s="1">
        <v>34</v>
      </c>
      <c r="M46" s="1">
        <v>10</v>
      </c>
      <c r="N46" s="1">
        <v>13</v>
      </c>
      <c r="O46" s="1">
        <v>45</v>
      </c>
      <c r="P46" s="1">
        <f t="shared" si="7"/>
        <v>117</v>
      </c>
      <c r="Q46" s="1">
        <f t="shared" si="8"/>
        <v>59</v>
      </c>
      <c r="R46" s="1"/>
      <c r="S46" s="1">
        <v>22</v>
      </c>
      <c r="T46" s="1">
        <v>32</v>
      </c>
      <c r="U46" s="1">
        <v>11</v>
      </c>
      <c r="V46" s="1">
        <v>17</v>
      </c>
      <c r="W46" s="1">
        <v>57</v>
      </c>
      <c r="X46" s="1">
        <f t="shared" si="9"/>
        <v>139</v>
      </c>
      <c r="Y46" s="1">
        <f t="shared" si="10"/>
        <v>70</v>
      </c>
      <c r="Z46" s="1"/>
      <c r="AA46" s="1">
        <v>18</v>
      </c>
      <c r="AB46" s="1">
        <v>21</v>
      </c>
      <c r="AC46" s="1">
        <v>9</v>
      </c>
      <c r="AD46" s="1">
        <v>12</v>
      </c>
      <c r="AE46" s="1">
        <v>39</v>
      </c>
      <c r="AF46" s="1">
        <f t="shared" si="11"/>
        <v>99</v>
      </c>
      <c r="AG46" s="1">
        <f t="shared" si="12"/>
        <v>50</v>
      </c>
      <c r="AH46" s="1"/>
      <c r="AI46" s="1">
        <v>21</v>
      </c>
      <c r="AJ46" s="1">
        <v>42</v>
      </c>
      <c r="AK46" s="1">
        <v>14</v>
      </c>
      <c r="AL46" s="1">
        <v>17</v>
      </c>
      <c r="AM46" s="1">
        <v>48</v>
      </c>
      <c r="AN46" s="1">
        <f t="shared" si="13"/>
        <v>142</v>
      </c>
      <c r="AO46" s="1">
        <f t="shared" si="14"/>
        <v>71</v>
      </c>
      <c r="AP46" s="1"/>
      <c r="AQ46" s="1">
        <v>12</v>
      </c>
      <c r="AR46" s="1">
        <v>13</v>
      </c>
      <c r="AS46" s="1">
        <v>4</v>
      </c>
      <c r="AT46" s="1">
        <v>23</v>
      </c>
      <c r="AU46" s="1">
        <v>8</v>
      </c>
      <c r="AV46" s="1">
        <v>9</v>
      </c>
      <c r="AW46" s="1">
        <v>8.5</v>
      </c>
      <c r="AX46" s="1">
        <v>24</v>
      </c>
      <c r="AY46" s="1">
        <f t="shared" si="21"/>
        <v>20</v>
      </c>
      <c r="AZ46" s="1">
        <f t="shared" si="22"/>
        <v>22</v>
      </c>
      <c r="BA46" s="1">
        <f t="shared" si="20"/>
        <v>13</v>
      </c>
      <c r="BB46" s="1">
        <v>15</v>
      </c>
      <c r="BC46" s="1">
        <f t="shared" si="23"/>
        <v>47</v>
      </c>
      <c r="BD46" s="1">
        <f t="shared" si="15"/>
        <v>117</v>
      </c>
      <c r="BE46" s="1">
        <f t="shared" si="19"/>
        <v>59</v>
      </c>
      <c r="BF46" s="1"/>
      <c r="BG46" s="1"/>
      <c r="BH46" s="1"/>
      <c r="BI46" s="1"/>
      <c r="BJ46" s="1"/>
      <c r="BK46" s="1"/>
      <c r="BL46" s="1"/>
      <c r="BM46" s="1"/>
      <c r="BN46" s="1"/>
      <c r="BO46" s="1" t="s">
        <v>371</v>
      </c>
      <c r="BP46" s="1" t="s">
        <v>371</v>
      </c>
      <c r="BQ46" s="43">
        <f t="shared" si="5"/>
        <v>0</v>
      </c>
      <c r="BR46" s="45">
        <f t="shared" si="16"/>
        <v>375</v>
      </c>
      <c r="BS46" s="70">
        <f t="shared" si="17"/>
        <v>62.5</v>
      </c>
      <c r="BT46" s="45" t="str">
        <f t="shared" si="18"/>
        <v>GRADE I</v>
      </c>
      <c r="BU46" s="1"/>
    </row>
    <row r="47" spans="1:73" x14ac:dyDescent="0.25">
      <c r="A47" s="1">
        <v>42</v>
      </c>
      <c r="B47" s="12" t="s">
        <v>50</v>
      </c>
      <c r="C47" s="1">
        <v>15</v>
      </c>
      <c r="D47" s="1">
        <v>28</v>
      </c>
      <c r="E47" s="1">
        <v>19</v>
      </c>
      <c r="F47" s="1">
        <v>13</v>
      </c>
      <c r="G47" s="1">
        <v>48</v>
      </c>
      <c r="H47" s="1">
        <f t="shared" si="6"/>
        <v>123</v>
      </c>
      <c r="I47" s="1">
        <f t="shared" si="0"/>
        <v>62</v>
      </c>
      <c r="J47" s="1"/>
      <c r="K47" s="1">
        <v>8</v>
      </c>
      <c r="L47" s="1">
        <v>23</v>
      </c>
      <c r="M47" s="1">
        <v>6</v>
      </c>
      <c r="N47" s="1">
        <v>14</v>
      </c>
      <c r="O47" s="1">
        <v>28</v>
      </c>
      <c r="P47" s="1">
        <f t="shared" si="7"/>
        <v>79</v>
      </c>
      <c r="Q47" s="1">
        <f t="shared" si="8"/>
        <v>40</v>
      </c>
      <c r="R47" s="1"/>
      <c r="S47" s="1">
        <v>20</v>
      </c>
      <c r="T47" s="1">
        <v>34</v>
      </c>
      <c r="U47" s="1">
        <v>10</v>
      </c>
      <c r="V47" s="1">
        <v>17</v>
      </c>
      <c r="W47" s="1">
        <v>55</v>
      </c>
      <c r="X47" s="1">
        <f t="shared" si="9"/>
        <v>136</v>
      </c>
      <c r="Y47" s="1">
        <f t="shared" si="10"/>
        <v>68</v>
      </c>
      <c r="Z47" s="1"/>
      <c r="AA47" s="1">
        <v>22</v>
      </c>
      <c r="AB47" s="1">
        <v>20</v>
      </c>
      <c r="AC47" s="1">
        <v>9</v>
      </c>
      <c r="AD47" s="1">
        <v>19</v>
      </c>
      <c r="AE47" s="1">
        <v>34</v>
      </c>
      <c r="AF47" s="1">
        <f t="shared" si="11"/>
        <v>104</v>
      </c>
      <c r="AG47" s="1">
        <f t="shared" si="12"/>
        <v>52</v>
      </c>
      <c r="AH47" s="1"/>
      <c r="AI47" s="1">
        <v>16</v>
      </c>
      <c r="AJ47" s="1">
        <v>39</v>
      </c>
      <c r="AK47" s="1">
        <v>9</v>
      </c>
      <c r="AL47" s="1">
        <v>20</v>
      </c>
      <c r="AM47" s="1">
        <v>58</v>
      </c>
      <c r="AN47" s="1">
        <f t="shared" si="13"/>
        <v>142</v>
      </c>
      <c r="AO47" s="1">
        <f t="shared" si="14"/>
        <v>71</v>
      </c>
      <c r="AP47" s="1"/>
      <c r="AQ47" s="1">
        <v>11</v>
      </c>
      <c r="AR47" s="1">
        <v>12</v>
      </c>
      <c r="AS47" s="1">
        <v>7</v>
      </c>
      <c r="AT47" s="1">
        <v>19</v>
      </c>
      <c r="AU47" s="1">
        <v>6</v>
      </c>
      <c r="AV47" s="1">
        <v>8</v>
      </c>
      <c r="AW47" s="1">
        <v>4</v>
      </c>
      <c r="AX47" s="1">
        <v>27</v>
      </c>
      <c r="AY47" s="1">
        <f t="shared" si="21"/>
        <v>17</v>
      </c>
      <c r="AZ47" s="1">
        <f t="shared" si="22"/>
        <v>20</v>
      </c>
      <c r="BA47" s="1">
        <f t="shared" si="20"/>
        <v>11</v>
      </c>
      <c r="BB47" s="1">
        <v>15</v>
      </c>
      <c r="BC47" s="1">
        <f t="shared" si="23"/>
        <v>46</v>
      </c>
      <c r="BD47" s="1">
        <f t="shared" si="15"/>
        <v>109</v>
      </c>
      <c r="BE47" s="1">
        <f t="shared" si="19"/>
        <v>55</v>
      </c>
      <c r="BF47" s="1"/>
      <c r="BG47" s="1"/>
      <c r="BH47" s="1"/>
      <c r="BI47" s="1"/>
      <c r="BJ47" s="1"/>
      <c r="BK47" s="1"/>
      <c r="BL47" s="1"/>
      <c r="BM47" s="1"/>
      <c r="BN47" s="1"/>
      <c r="BO47" s="1" t="s">
        <v>371</v>
      </c>
      <c r="BP47" s="1" t="s">
        <v>372</v>
      </c>
      <c r="BQ47" s="43">
        <f t="shared" si="5"/>
        <v>0</v>
      </c>
      <c r="BR47" s="45">
        <f t="shared" si="16"/>
        <v>348</v>
      </c>
      <c r="BS47" s="70">
        <f t="shared" si="17"/>
        <v>58</v>
      </c>
      <c r="BT47" s="45" t="str">
        <f t="shared" si="18"/>
        <v>GRADE II</v>
      </c>
      <c r="BU47" s="1"/>
    </row>
    <row r="48" spans="1:73" x14ac:dyDescent="0.25">
      <c r="A48" s="1">
        <v>43</v>
      </c>
      <c r="B48" s="12" t="s">
        <v>51</v>
      </c>
      <c r="C48" s="1">
        <v>9</v>
      </c>
      <c r="D48" s="1">
        <v>10</v>
      </c>
      <c r="E48" s="1">
        <v>9</v>
      </c>
      <c r="F48" s="1">
        <v>12</v>
      </c>
      <c r="G48" s="1">
        <v>41</v>
      </c>
      <c r="H48" s="1">
        <f t="shared" si="6"/>
        <v>81</v>
      </c>
      <c r="I48" s="1">
        <f t="shared" si="0"/>
        <v>41</v>
      </c>
      <c r="J48" s="1"/>
      <c r="K48" s="1">
        <v>11</v>
      </c>
      <c r="L48" s="1">
        <v>21</v>
      </c>
      <c r="M48" s="1">
        <v>10</v>
      </c>
      <c r="N48" s="1">
        <v>12</v>
      </c>
      <c r="O48" s="1">
        <v>44</v>
      </c>
      <c r="P48" s="1">
        <f t="shared" si="7"/>
        <v>98</v>
      </c>
      <c r="Q48" s="1">
        <f t="shared" si="8"/>
        <v>49</v>
      </c>
      <c r="R48" s="1"/>
      <c r="S48" s="1">
        <v>15</v>
      </c>
      <c r="T48" s="1">
        <v>19</v>
      </c>
      <c r="U48" s="1">
        <v>3</v>
      </c>
      <c r="V48" s="1">
        <v>14</v>
      </c>
      <c r="W48" s="1">
        <v>38</v>
      </c>
      <c r="X48" s="1">
        <f t="shared" si="9"/>
        <v>89</v>
      </c>
      <c r="Y48" s="1">
        <f t="shared" si="10"/>
        <v>45</v>
      </c>
      <c r="Z48" s="1"/>
      <c r="AA48" s="1">
        <v>16</v>
      </c>
      <c r="AB48" s="1">
        <v>17</v>
      </c>
      <c r="AC48" s="1">
        <v>8</v>
      </c>
      <c r="AD48" s="1">
        <v>13</v>
      </c>
      <c r="AE48" s="1">
        <v>29</v>
      </c>
      <c r="AF48" s="1">
        <f t="shared" si="11"/>
        <v>83</v>
      </c>
      <c r="AG48" s="1">
        <f t="shared" si="12"/>
        <v>42</v>
      </c>
      <c r="AH48" s="1"/>
      <c r="AI48" s="1">
        <v>9</v>
      </c>
      <c r="AJ48" s="1">
        <v>24</v>
      </c>
      <c r="AK48" s="1">
        <v>7</v>
      </c>
      <c r="AL48" s="1">
        <v>14</v>
      </c>
      <c r="AM48" s="1">
        <v>31</v>
      </c>
      <c r="AN48" s="1">
        <f t="shared" si="13"/>
        <v>85</v>
      </c>
      <c r="AO48" s="1">
        <f t="shared" si="14"/>
        <v>43</v>
      </c>
      <c r="AP48" s="1"/>
      <c r="AQ48" s="1">
        <v>5</v>
      </c>
      <c r="AR48" s="1">
        <v>11</v>
      </c>
      <c r="AS48" s="1">
        <v>7</v>
      </c>
      <c r="AT48" s="1">
        <v>35</v>
      </c>
      <c r="AU48" s="1">
        <v>1</v>
      </c>
      <c r="AV48" s="1">
        <v>11.5</v>
      </c>
      <c r="AW48" s="1">
        <v>2</v>
      </c>
      <c r="AX48" s="1">
        <v>14</v>
      </c>
      <c r="AY48" s="1">
        <f t="shared" si="21"/>
        <v>6</v>
      </c>
      <c r="AZ48" s="1">
        <f t="shared" si="22"/>
        <v>23</v>
      </c>
      <c r="BA48" s="1">
        <f t="shared" si="20"/>
        <v>9</v>
      </c>
      <c r="BB48" s="1">
        <v>15</v>
      </c>
      <c r="BC48" s="1">
        <f t="shared" si="23"/>
        <v>49</v>
      </c>
      <c r="BD48" s="1">
        <f t="shared" si="15"/>
        <v>102</v>
      </c>
      <c r="BE48" s="1">
        <f t="shared" si="19"/>
        <v>51</v>
      </c>
      <c r="BF48" s="1"/>
      <c r="BG48" s="1"/>
      <c r="BH48" s="1"/>
      <c r="BI48" s="1"/>
      <c r="BJ48" s="1"/>
      <c r="BK48" s="1"/>
      <c r="BL48" s="1"/>
      <c r="BM48" s="1"/>
      <c r="BN48" s="1"/>
      <c r="BO48" s="1" t="s">
        <v>372</v>
      </c>
      <c r="BP48" s="1" t="s">
        <v>372</v>
      </c>
      <c r="BQ48" s="43">
        <f t="shared" si="5"/>
        <v>0</v>
      </c>
      <c r="BR48" s="45">
        <f t="shared" si="16"/>
        <v>271</v>
      </c>
      <c r="BS48" s="70">
        <f t="shared" si="17"/>
        <v>45.166666666666664</v>
      </c>
      <c r="BT48" s="45" t="str">
        <f t="shared" si="18"/>
        <v>GRADE II</v>
      </c>
      <c r="BU48" s="1"/>
    </row>
    <row r="49" spans="1:73" x14ac:dyDescent="0.25">
      <c r="A49" s="97">
        <v>44</v>
      </c>
      <c r="B49" s="10" t="s">
        <v>52</v>
      </c>
      <c r="C49" s="1">
        <v>8</v>
      </c>
      <c r="D49" s="1">
        <v>20</v>
      </c>
      <c r="E49" s="1">
        <v>14</v>
      </c>
      <c r="F49" s="1">
        <v>14</v>
      </c>
      <c r="G49" s="1">
        <v>43</v>
      </c>
      <c r="H49" s="1">
        <f t="shared" si="6"/>
        <v>99</v>
      </c>
      <c r="I49" s="1">
        <f t="shared" si="0"/>
        <v>50</v>
      </c>
      <c r="J49" s="1"/>
      <c r="K49" s="1">
        <v>10</v>
      </c>
      <c r="L49" s="1">
        <v>27</v>
      </c>
      <c r="M49" s="1">
        <v>15</v>
      </c>
      <c r="N49" s="1">
        <v>15</v>
      </c>
      <c r="O49" s="1">
        <v>41</v>
      </c>
      <c r="P49" s="1">
        <f t="shared" si="7"/>
        <v>108</v>
      </c>
      <c r="Q49" s="1">
        <f t="shared" si="8"/>
        <v>54</v>
      </c>
      <c r="R49" s="1"/>
      <c r="S49" s="1">
        <v>11</v>
      </c>
      <c r="T49" s="1">
        <v>40</v>
      </c>
      <c r="U49" s="1">
        <v>19</v>
      </c>
      <c r="V49" s="1">
        <v>14</v>
      </c>
      <c r="W49" s="1">
        <v>38</v>
      </c>
      <c r="X49" s="1">
        <f t="shared" si="9"/>
        <v>122</v>
      </c>
      <c r="Y49" s="1">
        <f t="shared" si="10"/>
        <v>61</v>
      </c>
      <c r="Z49" s="1"/>
      <c r="AA49" s="1">
        <v>21</v>
      </c>
      <c r="AB49" s="1">
        <v>34</v>
      </c>
      <c r="AC49" s="1">
        <v>20</v>
      </c>
      <c r="AD49" s="1">
        <v>20</v>
      </c>
      <c r="AE49" s="1">
        <v>58</v>
      </c>
      <c r="AF49" s="1">
        <f t="shared" si="11"/>
        <v>153</v>
      </c>
      <c r="AG49" s="1">
        <f t="shared" si="12"/>
        <v>77</v>
      </c>
      <c r="AH49" s="1"/>
      <c r="AI49" s="1">
        <v>9</v>
      </c>
      <c r="AJ49" s="1">
        <v>29</v>
      </c>
      <c r="AK49" s="1">
        <v>9</v>
      </c>
      <c r="AL49" s="1">
        <v>18</v>
      </c>
      <c r="AM49" s="1">
        <v>45</v>
      </c>
      <c r="AN49" s="1">
        <f t="shared" si="13"/>
        <v>110</v>
      </c>
      <c r="AO49" s="1">
        <f t="shared" si="14"/>
        <v>55</v>
      </c>
      <c r="AP49" s="1"/>
      <c r="AQ49" s="1">
        <v>9</v>
      </c>
      <c r="AR49" s="1">
        <v>20</v>
      </c>
      <c r="AS49" s="1">
        <v>6.5</v>
      </c>
      <c r="AT49" s="1">
        <v>28</v>
      </c>
      <c r="AU49" s="1">
        <v>6</v>
      </c>
      <c r="AV49" s="1">
        <v>18</v>
      </c>
      <c r="AW49" s="1">
        <v>3.5</v>
      </c>
      <c r="AX49" s="1">
        <v>18</v>
      </c>
      <c r="AY49" s="1">
        <f t="shared" si="21"/>
        <v>15</v>
      </c>
      <c r="AZ49" s="1">
        <f t="shared" si="22"/>
        <v>38</v>
      </c>
      <c r="BA49" s="1">
        <f t="shared" si="20"/>
        <v>10</v>
      </c>
      <c r="BB49" s="1">
        <v>15</v>
      </c>
      <c r="BC49" s="1">
        <f t="shared" si="23"/>
        <v>46</v>
      </c>
      <c r="BD49" s="1">
        <f t="shared" si="15"/>
        <v>124</v>
      </c>
      <c r="BE49" s="1">
        <f t="shared" si="19"/>
        <v>62</v>
      </c>
      <c r="BF49" s="1"/>
      <c r="BG49" s="1"/>
      <c r="BH49" s="1"/>
      <c r="BI49" s="1"/>
      <c r="BJ49" s="1"/>
      <c r="BK49" s="1"/>
      <c r="BL49" s="1"/>
      <c r="BM49" s="1"/>
      <c r="BN49" s="1"/>
      <c r="BO49" s="1" t="s">
        <v>371</v>
      </c>
      <c r="BP49" s="1" t="s">
        <v>372</v>
      </c>
      <c r="BQ49" s="43">
        <f t="shared" si="5"/>
        <v>0</v>
      </c>
      <c r="BR49" s="45" t="s">
        <v>394</v>
      </c>
      <c r="BS49" s="70">
        <v>60</v>
      </c>
      <c r="BT49" s="45" t="str">
        <f t="shared" si="18"/>
        <v>GRADE I</v>
      </c>
      <c r="BU49" s="1"/>
    </row>
    <row r="50" spans="1:73" x14ac:dyDescent="0.25">
      <c r="A50" s="1">
        <v>45</v>
      </c>
      <c r="B50" s="14" t="s">
        <v>53</v>
      </c>
      <c r="C50" s="1">
        <v>14</v>
      </c>
      <c r="D50" s="1">
        <v>23</v>
      </c>
      <c r="E50" s="1">
        <v>12</v>
      </c>
      <c r="F50" s="1">
        <v>16</v>
      </c>
      <c r="G50" s="1">
        <v>46</v>
      </c>
      <c r="H50" s="1">
        <f t="shared" si="6"/>
        <v>111</v>
      </c>
      <c r="I50" s="1">
        <f t="shared" si="0"/>
        <v>56</v>
      </c>
      <c r="J50" s="1"/>
      <c r="K50" s="1">
        <v>11</v>
      </c>
      <c r="L50" s="1">
        <v>27</v>
      </c>
      <c r="M50" s="1">
        <v>11</v>
      </c>
      <c r="N50" s="1">
        <v>13</v>
      </c>
      <c r="O50" s="1">
        <v>48</v>
      </c>
      <c r="P50" s="1">
        <f t="shared" si="7"/>
        <v>110</v>
      </c>
      <c r="Q50" s="1">
        <f t="shared" si="8"/>
        <v>55</v>
      </c>
      <c r="R50" s="1"/>
      <c r="S50" s="1">
        <v>22</v>
      </c>
      <c r="T50" s="1">
        <v>46</v>
      </c>
      <c r="U50" s="1">
        <v>19</v>
      </c>
      <c r="V50" s="1">
        <v>17</v>
      </c>
      <c r="W50" s="1">
        <v>68</v>
      </c>
      <c r="X50" s="1">
        <f t="shared" si="9"/>
        <v>172</v>
      </c>
      <c r="Y50" s="1">
        <f t="shared" si="10"/>
        <v>86</v>
      </c>
      <c r="Z50" s="1"/>
      <c r="AA50" s="1">
        <v>24</v>
      </c>
      <c r="AB50" s="1">
        <v>30</v>
      </c>
      <c r="AC50" s="1">
        <v>14</v>
      </c>
      <c r="AD50" s="1">
        <v>15</v>
      </c>
      <c r="AE50" s="1">
        <v>51</v>
      </c>
      <c r="AF50" s="1">
        <f t="shared" si="11"/>
        <v>134</v>
      </c>
      <c r="AG50" s="1">
        <f t="shared" si="12"/>
        <v>67</v>
      </c>
      <c r="AH50" s="1"/>
      <c r="AI50" s="1">
        <v>24</v>
      </c>
      <c r="AJ50" s="1">
        <v>40</v>
      </c>
      <c r="AK50" s="1">
        <v>17</v>
      </c>
      <c r="AL50" s="1">
        <v>17</v>
      </c>
      <c r="AM50" s="1">
        <v>57</v>
      </c>
      <c r="AN50" s="1">
        <f t="shared" si="13"/>
        <v>155</v>
      </c>
      <c r="AO50" s="1">
        <f t="shared" si="14"/>
        <v>78</v>
      </c>
      <c r="AP50" s="1"/>
      <c r="AQ50" s="1">
        <v>12</v>
      </c>
      <c r="AR50" s="1">
        <v>21</v>
      </c>
      <c r="AS50" s="1">
        <v>5.5</v>
      </c>
      <c r="AT50" s="1">
        <v>34</v>
      </c>
      <c r="AU50" s="1">
        <v>9</v>
      </c>
      <c r="AV50" s="1">
        <v>14</v>
      </c>
      <c r="AW50" s="1">
        <v>4.5</v>
      </c>
      <c r="AX50" s="1">
        <v>29</v>
      </c>
      <c r="AY50" s="1">
        <f t="shared" si="21"/>
        <v>21</v>
      </c>
      <c r="AZ50" s="1">
        <f t="shared" si="22"/>
        <v>35</v>
      </c>
      <c r="BA50" s="1">
        <f t="shared" si="20"/>
        <v>10</v>
      </c>
      <c r="BB50" s="1">
        <v>10</v>
      </c>
      <c r="BC50" s="1">
        <f t="shared" si="23"/>
        <v>63</v>
      </c>
      <c r="BD50" s="1">
        <f t="shared" si="15"/>
        <v>139</v>
      </c>
      <c r="BE50" s="1">
        <f t="shared" si="19"/>
        <v>70</v>
      </c>
      <c r="BF50" s="1"/>
      <c r="BG50" s="1"/>
      <c r="BH50" s="1"/>
      <c r="BI50" s="1"/>
      <c r="BJ50" s="1"/>
      <c r="BK50" s="1"/>
      <c r="BL50" s="1"/>
      <c r="BM50" s="1"/>
      <c r="BN50" s="1"/>
      <c r="BO50" s="1" t="s">
        <v>371</v>
      </c>
      <c r="BP50" s="1" t="s">
        <v>371</v>
      </c>
      <c r="BQ50" s="43">
        <f t="shared" si="5"/>
        <v>0</v>
      </c>
      <c r="BR50" s="45">
        <f t="shared" si="16"/>
        <v>412</v>
      </c>
      <c r="BS50" s="70">
        <f t="shared" si="17"/>
        <v>68.666666666666671</v>
      </c>
      <c r="BT50" s="45" t="str">
        <f t="shared" si="18"/>
        <v>GRADE I</v>
      </c>
      <c r="BU50" s="1"/>
    </row>
    <row r="51" spans="1:73" x14ac:dyDescent="0.25">
      <c r="A51" s="1">
        <v>46</v>
      </c>
      <c r="B51" s="12" t="s">
        <v>54</v>
      </c>
      <c r="C51" s="1">
        <v>10</v>
      </c>
      <c r="D51" s="1">
        <v>15</v>
      </c>
      <c r="E51" s="1">
        <v>13</v>
      </c>
      <c r="F51" s="1">
        <v>15</v>
      </c>
      <c r="G51" s="1">
        <v>44</v>
      </c>
      <c r="H51" s="1">
        <f t="shared" si="6"/>
        <v>97</v>
      </c>
      <c r="I51" s="1">
        <f t="shared" si="0"/>
        <v>49</v>
      </c>
      <c r="J51" s="1"/>
      <c r="K51" s="1">
        <v>11</v>
      </c>
      <c r="L51" s="1">
        <v>33</v>
      </c>
      <c r="M51" s="1">
        <v>14</v>
      </c>
      <c r="N51" s="1">
        <v>14</v>
      </c>
      <c r="O51" s="1">
        <v>44</v>
      </c>
      <c r="P51" s="1">
        <f t="shared" si="7"/>
        <v>116</v>
      </c>
      <c r="Q51" s="1">
        <f t="shared" si="8"/>
        <v>58</v>
      </c>
      <c r="R51" s="1"/>
      <c r="S51" s="1">
        <v>18</v>
      </c>
      <c r="T51" s="1">
        <v>38</v>
      </c>
      <c r="U51" s="1">
        <v>13</v>
      </c>
      <c r="V51" s="1">
        <v>15</v>
      </c>
      <c r="W51" s="1">
        <v>42</v>
      </c>
      <c r="X51" s="1">
        <f t="shared" si="9"/>
        <v>126</v>
      </c>
      <c r="Y51" s="1">
        <f t="shared" si="10"/>
        <v>63</v>
      </c>
      <c r="Z51" s="1"/>
      <c r="AA51" s="1">
        <v>19</v>
      </c>
      <c r="AB51" s="1">
        <v>20</v>
      </c>
      <c r="AC51" s="1">
        <v>17</v>
      </c>
      <c r="AD51" s="1">
        <v>15</v>
      </c>
      <c r="AE51" s="1">
        <v>58</v>
      </c>
      <c r="AF51" s="1">
        <f t="shared" si="11"/>
        <v>129</v>
      </c>
      <c r="AG51" s="1">
        <f t="shared" si="12"/>
        <v>65</v>
      </c>
      <c r="AH51" s="1"/>
      <c r="AI51" s="1">
        <v>12</v>
      </c>
      <c r="AJ51" s="1">
        <v>12</v>
      </c>
      <c r="AK51" s="1">
        <v>12</v>
      </c>
      <c r="AL51" s="1">
        <v>15</v>
      </c>
      <c r="AM51" s="1">
        <v>36</v>
      </c>
      <c r="AN51" s="1">
        <f t="shared" si="13"/>
        <v>87</v>
      </c>
      <c r="AO51" s="1">
        <f t="shared" si="14"/>
        <v>44</v>
      </c>
      <c r="AP51" s="1"/>
      <c r="AQ51" s="1">
        <v>9</v>
      </c>
      <c r="AR51" s="1">
        <v>24</v>
      </c>
      <c r="AS51" s="1">
        <v>8</v>
      </c>
      <c r="AT51" s="1">
        <v>32</v>
      </c>
      <c r="AU51" s="1">
        <v>8</v>
      </c>
      <c r="AV51" s="1">
        <v>11.5</v>
      </c>
      <c r="AW51" s="1">
        <v>5</v>
      </c>
      <c r="AX51" s="1">
        <v>29</v>
      </c>
      <c r="AY51" s="1">
        <f t="shared" si="21"/>
        <v>17</v>
      </c>
      <c r="AZ51" s="1">
        <f t="shared" si="22"/>
        <v>36</v>
      </c>
      <c r="BA51" s="1">
        <f t="shared" si="20"/>
        <v>13</v>
      </c>
      <c r="BB51" s="1">
        <v>17</v>
      </c>
      <c r="BC51" s="1">
        <f t="shared" si="23"/>
        <v>61</v>
      </c>
      <c r="BD51" s="1">
        <f t="shared" si="15"/>
        <v>144</v>
      </c>
      <c r="BE51" s="1">
        <f t="shared" si="19"/>
        <v>72</v>
      </c>
      <c r="BF51" s="1"/>
      <c r="BG51" s="1"/>
      <c r="BH51" s="1"/>
      <c r="BI51" s="1"/>
      <c r="BJ51" s="1"/>
      <c r="BK51" s="1"/>
      <c r="BL51" s="1"/>
      <c r="BM51" s="1"/>
      <c r="BN51" s="1"/>
      <c r="BO51" s="1" t="s">
        <v>371</v>
      </c>
      <c r="BP51" s="1" t="s">
        <v>371</v>
      </c>
      <c r="BQ51" s="43">
        <f t="shared" si="5"/>
        <v>0</v>
      </c>
      <c r="BR51" s="45">
        <f t="shared" si="16"/>
        <v>351</v>
      </c>
      <c r="BS51" s="70">
        <f t="shared" si="17"/>
        <v>58.5</v>
      </c>
      <c r="BT51" s="45" t="str">
        <f t="shared" si="18"/>
        <v>GRADE II</v>
      </c>
      <c r="BU51" s="1"/>
    </row>
    <row r="52" spans="1:73" x14ac:dyDescent="0.25">
      <c r="A52" s="1">
        <v>47</v>
      </c>
      <c r="B52" s="12" t="s">
        <v>55</v>
      </c>
      <c r="C52" s="1">
        <v>7</v>
      </c>
      <c r="D52" s="1">
        <v>6</v>
      </c>
      <c r="E52" s="1">
        <v>10</v>
      </c>
      <c r="F52" s="1">
        <v>14</v>
      </c>
      <c r="G52" s="1">
        <v>44</v>
      </c>
      <c r="H52" s="1">
        <f t="shared" si="6"/>
        <v>81</v>
      </c>
      <c r="I52" s="1">
        <f t="shared" si="0"/>
        <v>41</v>
      </c>
      <c r="J52" s="1"/>
      <c r="K52" s="1">
        <v>9</v>
      </c>
      <c r="L52" s="1">
        <v>22</v>
      </c>
      <c r="M52" s="1">
        <v>11</v>
      </c>
      <c r="N52" s="1">
        <v>14</v>
      </c>
      <c r="O52" s="1">
        <v>31</v>
      </c>
      <c r="P52" s="1">
        <f t="shared" si="7"/>
        <v>87</v>
      </c>
      <c r="Q52" s="1">
        <f t="shared" si="8"/>
        <v>44</v>
      </c>
      <c r="R52" s="1"/>
      <c r="S52" s="1">
        <v>14</v>
      </c>
      <c r="T52" s="1">
        <v>32</v>
      </c>
      <c r="U52" s="1">
        <v>6</v>
      </c>
      <c r="V52" s="1">
        <v>17</v>
      </c>
      <c r="W52" s="1">
        <v>43</v>
      </c>
      <c r="X52" s="1">
        <f t="shared" si="9"/>
        <v>112</v>
      </c>
      <c r="Y52" s="1">
        <f t="shared" si="10"/>
        <v>56</v>
      </c>
      <c r="Z52" s="1"/>
      <c r="AA52" s="1">
        <v>17</v>
      </c>
      <c r="AB52" s="1">
        <v>11</v>
      </c>
      <c r="AC52" s="1">
        <v>9</v>
      </c>
      <c r="AD52" s="1">
        <v>14</v>
      </c>
      <c r="AE52" s="1">
        <v>29</v>
      </c>
      <c r="AF52" s="1">
        <f t="shared" si="11"/>
        <v>80</v>
      </c>
      <c r="AG52" s="1">
        <f t="shared" si="12"/>
        <v>40</v>
      </c>
      <c r="AH52" s="1"/>
      <c r="AI52" s="1">
        <v>8</v>
      </c>
      <c r="AJ52" s="1">
        <v>8</v>
      </c>
      <c r="AK52" s="1">
        <v>11</v>
      </c>
      <c r="AL52" s="1">
        <v>16</v>
      </c>
      <c r="AM52" s="1">
        <v>37</v>
      </c>
      <c r="AN52" s="1">
        <f t="shared" si="13"/>
        <v>80</v>
      </c>
      <c r="AO52" s="1">
        <f t="shared" si="14"/>
        <v>40</v>
      </c>
      <c r="AP52" s="1"/>
      <c r="AQ52" s="1">
        <v>2</v>
      </c>
      <c r="AR52" s="1">
        <v>4</v>
      </c>
      <c r="AS52" s="1">
        <v>3</v>
      </c>
      <c r="AT52" s="1">
        <v>12</v>
      </c>
      <c r="AU52" s="1">
        <v>4</v>
      </c>
      <c r="AV52" s="1">
        <v>8.5</v>
      </c>
      <c r="AW52" s="1">
        <v>3.5</v>
      </c>
      <c r="AX52" s="1">
        <v>14</v>
      </c>
      <c r="AY52" s="1">
        <f t="shared" si="21"/>
        <v>6</v>
      </c>
      <c r="AZ52" s="1">
        <f t="shared" si="22"/>
        <v>13</v>
      </c>
      <c r="BA52" s="1">
        <f t="shared" si="20"/>
        <v>7</v>
      </c>
      <c r="BB52" s="1">
        <v>11</v>
      </c>
      <c r="BC52" s="1">
        <f t="shared" si="23"/>
        <v>26</v>
      </c>
      <c r="BD52" s="1">
        <f t="shared" si="15"/>
        <v>63</v>
      </c>
      <c r="BE52" s="1">
        <f t="shared" si="19"/>
        <v>32</v>
      </c>
      <c r="BF52" s="1">
        <v>3</v>
      </c>
      <c r="BG52" s="1"/>
      <c r="BH52" s="1"/>
      <c r="BI52" s="1"/>
      <c r="BJ52" s="1"/>
      <c r="BK52" s="1"/>
      <c r="BL52" s="1"/>
      <c r="BM52" s="1"/>
      <c r="BN52" s="1"/>
      <c r="BO52" s="1" t="s">
        <v>371</v>
      </c>
      <c r="BP52" s="1" t="s">
        <v>371</v>
      </c>
      <c r="BQ52" s="43">
        <f t="shared" si="5"/>
        <v>3</v>
      </c>
      <c r="BR52" s="45">
        <f t="shared" si="16"/>
        <v>253</v>
      </c>
      <c r="BS52" s="70">
        <f t="shared" si="17"/>
        <v>42.166666666666664</v>
      </c>
      <c r="BT52" s="45" t="s">
        <v>375</v>
      </c>
      <c r="BU52" s="1"/>
    </row>
    <row r="53" spans="1:73" x14ac:dyDescent="0.25">
      <c r="A53" s="1">
        <v>48</v>
      </c>
      <c r="B53" s="12" t="s">
        <v>56</v>
      </c>
      <c r="C53" s="1">
        <v>7</v>
      </c>
      <c r="D53" s="1">
        <v>11</v>
      </c>
      <c r="E53" s="1">
        <v>10</v>
      </c>
      <c r="F53" s="1">
        <v>13</v>
      </c>
      <c r="G53" s="1">
        <v>38</v>
      </c>
      <c r="H53" s="1">
        <f t="shared" si="6"/>
        <v>79</v>
      </c>
      <c r="I53" s="1">
        <f t="shared" si="0"/>
        <v>40</v>
      </c>
      <c r="J53" s="1"/>
      <c r="K53" s="1">
        <v>11</v>
      </c>
      <c r="L53" s="1">
        <v>22</v>
      </c>
      <c r="M53" s="1">
        <v>10</v>
      </c>
      <c r="N53" s="1">
        <v>12</v>
      </c>
      <c r="O53" s="1">
        <v>27</v>
      </c>
      <c r="P53" s="1">
        <f t="shared" si="7"/>
        <v>82</v>
      </c>
      <c r="Q53" s="1">
        <f t="shared" si="8"/>
        <v>41</v>
      </c>
      <c r="R53" s="1"/>
      <c r="S53" s="1">
        <v>15</v>
      </c>
      <c r="T53" s="1">
        <v>30</v>
      </c>
      <c r="U53" s="1">
        <v>9</v>
      </c>
      <c r="V53" s="1">
        <v>18</v>
      </c>
      <c r="W53" s="1">
        <v>53</v>
      </c>
      <c r="X53" s="1">
        <f t="shared" si="9"/>
        <v>125</v>
      </c>
      <c r="Y53" s="1">
        <f t="shared" si="10"/>
        <v>63</v>
      </c>
      <c r="Z53" s="1"/>
      <c r="AA53" s="1">
        <v>19</v>
      </c>
      <c r="AB53" s="1">
        <v>20</v>
      </c>
      <c r="AC53" s="1">
        <v>9</v>
      </c>
      <c r="AD53" s="1">
        <v>9</v>
      </c>
      <c r="AE53" s="1">
        <v>31</v>
      </c>
      <c r="AF53" s="1">
        <f t="shared" si="11"/>
        <v>88</v>
      </c>
      <c r="AG53" s="1">
        <f t="shared" si="12"/>
        <v>44</v>
      </c>
      <c r="AH53" s="1"/>
      <c r="AI53" s="1">
        <v>10</v>
      </c>
      <c r="AJ53" s="1">
        <v>22</v>
      </c>
      <c r="AK53" s="1">
        <v>9</v>
      </c>
      <c r="AL53" s="1">
        <v>17</v>
      </c>
      <c r="AM53" s="1">
        <v>32</v>
      </c>
      <c r="AN53" s="1">
        <f t="shared" si="13"/>
        <v>90</v>
      </c>
      <c r="AO53" s="1">
        <f t="shared" si="14"/>
        <v>45</v>
      </c>
      <c r="AP53" s="1"/>
      <c r="AQ53" s="1">
        <v>6</v>
      </c>
      <c r="AR53" s="1">
        <v>6.5</v>
      </c>
      <c r="AS53" s="1">
        <v>3.5</v>
      </c>
      <c r="AT53" s="1">
        <v>17</v>
      </c>
      <c r="AU53" s="1">
        <v>3</v>
      </c>
      <c r="AV53" s="1">
        <v>5</v>
      </c>
      <c r="AW53" s="1">
        <v>3</v>
      </c>
      <c r="AX53" s="1">
        <v>10</v>
      </c>
      <c r="AY53" s="1">
        <f t="shared" si="21"/>
        <v>9</v>
      </c>
      <c r="AZ53" s="1">
        <f t="shared" si="22"/>
        <v>12</v>
      </c>
      <c r="BA53" s="1">
        <f t="shared" si="20"/>
        <v>7</v>
      </c>
      <c r="BB53" s="1">
        <v>8</v>
      </c>
      <c r="BC53" s="1">
        <f t="shared" si="23"/>
        <v>27</v>
      </c>
      <c r="BD53" s="1">
        <f t="shared" si="15"/>
        <v>63</v>
      </c>
      <c r="BE53" s="1">
        <f t="shared" si="19"/>
        <v>32</v>
      </c>
      <c r="BF53" s="1">
        <v>3</v>
      </c>
      <c r="BG53" s="1"/>
      <c r="BH53" s="1"/>
      <c r="BI53" s="1"/>
      <c r="BJ53" s="1"/>
      <c r="BK53" s="1"/>
      <c r="BL53" s="1"/>
      <c r="BM53" s="1"/>
      <c r="BN53" s="1"/>
      <c r="BO53" s="1" t="s">
        <v>371</v>
      </c>
      <c r="BP53" s="1" t="s">
        <v>372</v>
      </c>
      <c r="BQ53" s="43">
        <f t="shared" si="5"/>
        <v>3</v>
      </c>
      <c r="BR53" s="45">
        <f t="shared" si="16"/>
        <v>265</v>
      </c>
      <c r="BS53" s="70">
        <f t="shared" si="17"/>
        <v>44.166666666666664</v>
      </c>
      <c r="BT53" s="45" t="s">
        <v>375</v>
      </c>
      <c r="BU53" s="1"/>
    </row>
    <row r="54" spans="1:73" x14ac:dyDescent="0.25">
      <c r="A54" s="1">
        <v>49</v>
      </c>
      <c r="B54" s="12" t="s">
        <v>57</v>
      </c>
      <c r="C54" s="1">
        <v>13</v>
      </c>
      <c r="D54" s="1">
        <v>29</v>
      </c>
      <c r="E54" s="1">
        <v>12</v>
      </c>
      <c r="F54" s="1">
        <v>15</v>
      </c>
      <c r="G54" s="1">
        <v>53</v>
      </c>
      <c r="H54" s="1">
        <f t="shared" si="6"/>
        <v>122</v>
      </c>
      <c r="I54" s="1">
        <f t="shared" si="0"/>
        <v>61</v>
      </c>
      <c r="J54" s="1"/>
      <c r="K54" s="1">
        <v>19</v>
      </c>
      <c r="L54" s="1">
        <v>29</v>
      </c>
      <c r="M54" s="1">
        <v>9</v>
      </c>
      <c r="N54" s="1">
        <v>15</v>
      </c>
      <c r="O54" s="1">
        <v>38</v>
      </c>
      <c r="P54" s="1">
        <f t="shared" si="7"/>
        <v>110</v>
      </c>
      <c r="Q54" s="1">
        <f t="shared" si="8"/>
        <v>55</v>
      </c>
      <c r="R54" s="1"/>
      <c r="S54" s="1">
        <v>22</v>
      </c>
      <c r="T54" s="1">
        <v>41</v>
      </c>
      <c r="U54" s="1">
        <v>18</v>
      </c>
      <c r="V54" s="1">
        <v>17</v>
      </c>
      <c r="W54" s="1">
        <v>58</v>
      </c>
      <c r="X54" s="1">
        <f t="shared" si="9"/>
        <v>156</v>
      </c>
      <c r="Y54" s="1">
        <f t="shared" si="10"/>
        <v>78</v>
      </c>
      <c r="Z54" s="1"/>
      <c r="AA54" s="1">
        <v>24</v>
      </c>
      <c r="AB54" s="1">
        <v>39</v>
      </c>
      <c r="AC54" s="1">
        <v>18</v>
      </c>
      <c r="AD54" s="1">
        <v>19</v>
      </c>
      <c r="AE54" s="1">
        <v>60</v>
      </c>
      <c r="AF54" s="1">
        <f t="shared" si="11"/>
        <v>160</v>
      </c>
      <c r="AG54" s="1">
        <f t="shared" si="12"/>
        <v>80</v>
      </c>
      <c r="AH54" s="1"/>
      <c r="AI54" s="1">
        <v>22</v>
      </c>
      <c r="AJ54" s="1">
        <v>29</v>
      </c>
      <c r="AK54" s="1">
        <v>23</v>
      </c>
      <c r="AL54" s="1">
        <v>17</v>
      </c>
      <c r="AM54" s="1">
        <v>63</v>
      </c>
      <c r="AN54" s="1">
        <f t="shared" si="13"/>
        <v>154</v>
      </c>
      <c r="AO54" s="1">
        <f t="shared" si="14"/>
        <v>77</v>
      </c>
      <c r="AP54" s="1"/>
      <c r="AQ54" s="1">
        <v>10</v>
      </c>
      <c r="AR54" s="1">
        <v>22</v>
      </c>
      <c r="AS54" s="1">
        <v>8.5</v>
      </c>
      <c r="AT54" s="1">
        <v>28</v>
      </c>
      <c r="AU54" s="1">
        <v>6.5</v>
      </c>
      <c r="AV54" s="1">
        <v>18</v>
      </c>
      <c r="AW54" s="1">
        <v>9.5</v>
      </c>
      <c r="AX54" s="1">
        <v>32</v>
      </c>
      <c r="AY54" s="1">
        <f t="shared" si="21"/>
        <v>17</v>
      </c>
      <c r="AZ54" s="1">
        <f t="shared" si="22"/>
        <v>40</v>
      </c>
      <c r="BA54" s="1">
        <f t="shared" si="20"/>
        <v>18</v>
      </c>
      <c r="BB54" s="1">
        <v>20</v>
      </c>
      <c r="BC54" s="1">
        <f t="shared" si="23"/>
        <v>60</v>
      </c>
      <c r="BD54" s="1">
        <f t="shared" si="15"/>
        <v>155</v>
      </c>
      <c r="BE54" s="1">
        <f t="shared" si="19"/>
        <v>78</v>
      </c>
      <c r="BF54" s="1"/>
      <c r="BG54" s="1"/>
      <c r="BH54" s="1"/>
      <c r="BI54" s="1"/>
      <c r="BJ54" s="1"/>
      <c r="BK54" s="1"/>
      <c r="BL54" s="1"/>
      <c r="BM54" s="1"/>
      <c r="BN54" s="1"/>
      <c r="BO54" s="1" t="s">
        <v>371</v>
      </c>
      <c r="BP54" s="1" t="s">
        <v>371</v>
      </c>
      <c r="BQ54" s="43">
        <f t="shared" si="5"/>
        <v>0</v>
      </c>
      <c r="BR54" s="45">
        <f t="shared" si="16"/>
        <v>429</v>
      </c>
      <c r="BS54" s="70">
        <f t="shared" si="17"/>
        <v>71.5</v>
      </c>
      <c r="BT54" s="45" t="str">
        <f t="shared" si="18"/>
        <v>GRADE I</v>
      </c>
      <c r="BU54" s="1"/>
    </row>
    <row r="55" spans="1:73" x14ac:dyDescent="0.25">
      <c r="A55" s="1">
        <v>50</v>
      </c>
      <c r="B55" s="12" t="s">
        <v>58</v>
      </c>
      <c r="C55" s="1">
        <v>5</v>
      </c>
      <c r="D55" s="1">
        <v>14</v>
      </c>
      <c r="E55" s="1" t="s">
        <v>248</v>
      </c>
      <c r="F55" s="1">
        <v>14</v>
      </c>
      <c r="G55" s="1">
        <v>33</v>
      </c>
      <c r="H55" s="1">
        <f t="shared" si="6"/>
        <v>66</v>
      </c>
      <c r="I55" s="1">
        <f t="shared" si="0"/>
        <v>33</v>
      </c>
      <c r="J55" s="1">
        <v>2</v>
      </c>
      <c r="K55" s="1">
        <v>13</v>
      </c>
      <c r="L55" s="1">
        <v>27</v>
      </c>
      <c r="M55" s="1">
        <v>9</v>
      </c>
      <c r="N55" s="1">
        <v>13</v>
      </c>
      <c r="O55" s="1">
        <v>41</v>
      </c>
      <c r="P55" s="1">
        <f t="shared" si="7"/>
        <v>103</v>
      </c>
      <c r="Q55" s="1">
        <f t="shared" si="8"/>
        <v>52</v>
      </c>
      <c r="R55" s="1"/>
      <c r="S55" s="1">
        <v>10</v>
      </c>
      <c r="T55" s="1">
        <v>29</v>
      </c>
      <c r="U55" s="1" t="s">
        <v>248</v>
      </c>
      <c r="V55" s="1">
        <v>14</v>
      </c>
      <c r="W55" s="1">
        <v>46</v>
      </c>
      <c r="X55" s="1">
        <f t="shared" si="9"/>
        <v>99</v>
      </c>
      <c r="Y55" s="1">
        <f t="shared" si="10"/>
        <v>50</v>
      </c>
      <c r="Z55" s="1"/>
      <c r="AA55" s="1">
        <v>11</v>
      </c>
      <c r="AB55" s="1">
        <v>19</v>
      </c>
      <c r="AC55" s="1">
        <v>8</v>
      </c>
      <c r="AD55" s="1">
        <v>16</v>
      </c>
      <c r="AE55" s="1">
        <v>35</v>
      </c>
      <c r="AF55" s="1">
        <f t="shared" si="11"/>
        <v>89</v>
      </c>
      <c r="AG55" s="1">
        <f t="shared" si="12"/>
        <v>45</v>
      </c>
      <c r="AH55" s="1"/>
      <c r="AI55" s="1">
        <v>10</v>
      </c>
      <c r="AJ55" s="1">
        <v>27</v>
      </c>
      <c r="AK55" s="1">
        <v>8</v>
      </c>
      <c r="AL55" s="1">
        <v>16</v>
      </c>
      <c r="AM55" s="1">
        <v>31</v>
      </c>
      <c r="AN55" s="1">
        <f t="shared" si="13"/>
        <v>92</v>
      </c>
      <c r="AO55" s="1">
        <f t="shared" si="14"/>
        <v>46</v>
      </c>
      <c r="AP55" s="1"/>
      <c r="AQ55" s="1">
        <v>4</v>
      </c>
      <c r="AR55" s="1">
        <v>8</v>
      </c>
      <c r="AS55" s="1">
        <v>4.5</v>
      </c>
      <c r="AT55" s="1">
        <v>19</v>
      </c>
      <c r="AU55" s="1">
        <v>5</v>
      </c>
      <c r="AV55" s="1">
        <v>8</v>
      </c>
      <c r="AW55" s="1">
        <v>3.5</v>
      </c>
      <c r="AX55" s="1">
        <v>11</v>
      </c>
      <c r="AY55" s="1">
        <f t="shared" si="21"/>
        <v>9</v>
      </c>
      <c r="AZ55" s="1">
        <f t="shared" si="22"/>
        <v>16</v>
      </c>
      <c r="BA55" s="1">
        <f t="shared" si="20"/>
        <v>8</v>
      </c>
      <c r="BB55" s="1">
        <v>14</v>
      </c>
      <c r="BC55" s="1">
        <f t="shared" si="23"/>
        <v>30</v>
      </c>
      <c r="BD55" s="1">
        <f t="shared" si="15"/>
        <v>77</v>
      </c>
      <c r="BE55" s="1">
        <f t="shared" si="19"/>
        <v>39</v>
      </c>
      <c r="BF55" s="1"/>
      <c r="BG55" s="1"/>
      <c r="BH55" s="1"/>
      <c r="BI55" s="1"/>
      <c r="BJ55" s="1"/>
      <c r="BK55" s="1"/>
      <c r="BL55" s="1"/>
      <c r="BM55" s="1"/>
      <c r="BN55" s="1"/>
      <c r="BO55" s="1" t="s">
        <v>372</v>
      </c>
      <c r="BP55" s="1" t="s">
        <v>372</v>
      </c>
      <c r="BQ55" s="43">
        <f t="shared" si="5"/>
        <v>2</v>
      </c>
      <c r="BR55" s="45">
        <f t="shared" si="16"/>
        <v>265</v>
      </c>
      <c r="BS55" s="70">
        <f t="shared" si="17"/>
        <v>44.166666666666664</v>
      </c>
      <c r="BT55" s="45" t="s">
        <v>375</v>
      </c>
      <c r="BU55" s="1"/>
    </row>
    <row r="56" spans="1:73" x14ac:dyDescent="0.25">
      <c r="A56" s="1">
        <v>51</v>
      </c>
      <c r="B56" s="12" t="s">
        <v>59</v>
      </c>
      <c r="C56" s="1">
        <v>10</v>
      </c>
      <c r="D56" s="1">
        <v>15</v>
      </c>
      <c r="E56" s="1">
        <v>9</v>
      </c>
      <c r="F56" s="1">
        <v>13</v>
      </c>
      <c r="G56" s="1">
        <v>39</v>
      </c>
      <c r="H56" s="1">
        <f t="shared" si="6"/>
        <v>86</v>
      </c>
      <c r="I56" s="1">
        <f t="shared" si="0"/>
        <v>43</v>
      </c>
      <c r="J56" s="1"/>
      <c r="K56" s="1">
        <v>21</v>
      </c>
      <c r="L56" s="1">
        <v>32</v>
      </c>
      <c r="M56" s="1">
        <v>13</v>
      </c>
      <c r="N56" s="1">
        <v>14</v>
      </c>
      <c r="O56" s="1">
        <v>41</v>
      </c>
      <c r="P56" s="1">
        <f t="shared" si="7"/>
        <v>121</v>
      </c>
      <c r="Q56" s="1">
        <f t="shared" si="8"/>
        <v>61</v>
      </c>
      <c r="R56" s="1"/>
      <c r="S56" s="1">
        <v>21</v>
      </c>
      <c r="T56" s="1">
        <v>34</v>
      </c>
      <c r="U56" s="1">
        <v>16</v>
      </c>
      <c r="V56" s="1">
        <v>15</v>
      </c>
      <c r="W56" s="1">
        <v>55</v>
      </c>
      <c r="X56" s="1">
        <f t="shared" si="9"/>
        <v>141</v>
      </c>
      <c r="Y56" s="1">
        <f t="shared" si="10"/>
        <v>71</v>
      </c>
      <c r="Z56" s="1"/>
      <c r="AA56" s="1">
        <v>19</v>
      </c>
      <c r="AB56" s="1">
        <v>19</v>
      </c>
      <c r="AC56" s="1">
        <v>9</v>
      </c>
      <c r="AD56" s="1">
        <v>15</v>
      </c>
      <c r="AE56" s="1">
        <v>36</v>
      </c>
      <c r="AF56" s="1">
        <f t="shared" si="11"/>
        <v>98</v>
      </c>
      <c r="AG56" s="1">
        <f t="shared" si="12"/>
        <v>49</v>
      </c>
      <c r="AH56" s="1"/>
      <c r="AI56" s="1">
        <v>13</v>
      </c>
      <c r="AJ56" s="1">
        <v>35</v>
      </c>
      <c r="AK56" s="1">
        <v>12</v>
      </c>
      <c r="AL56" s="1">
        <v>16</v>
      </c>
      <c r="AM56" s="1">
        <v>35</v>
      </c>
      <c r="AN56" s="1">
        <f t="shared" si="13"/>
        <v>111</v>
      </c>
      <c r="AO56" s="1">
        <f t="shared" si="14"/>
        <v>56</v>
      </c>
      <c r="AP56" s="1"/>
      <c r="AQ56" s="1">
        <v>9</v>
      </c>
      <c r="AR56" s="1">
        <v>14.5</v>
      </c>
      <c r="AS56" s="1">
        <v>3.5</v>
      </c>
      <c r="AT56" s="1">
        <v>18</v>
      </c>
      <c r="AU56" s="1">
        <v>8.5</v>
      </c>
      <c r="AV56" s="1">
        <v>12.5</v>
      </c>
      <c r="AW56" s="1">
        <v>3</v>
      </c>
      <c r="AX56" s="1">
        <v>19</v>
      </c>
      <c r="AY56" s="1">
        <f t="shared" si="21"/>
        <v>18</v>
      </c>
      <c r="AZ56" s="1">
        <f t="shared" si="22"/>
        <v>27</v>
      </c>
      <c r="BA56" s="1">
        <f t="shared" si="20"/>
        <v>7</v>
      </c>
      <c r="BB56" s="1">
        <v>12</v>
      </c>
      <c r="BC56" s="1">
        <f t="shared" si="23"/>
        <v>37</v>
      </c>
      <c r="BD56" s="1">
        <f t="shared" si="15"/>
        <v>101</v>
      </c>
      <c r="BE56" s="1">
        <f t="shared" si="19"/>
        <v>51</v>
      </c>
      <c r="BF56" s="1"/>
      <c r="BG56" s="1"/>
      <c r="BH56" s="1"/>
      <c r="BI56" s="1"/>
      <c r="BJ56" s="1"/>
      <c r="BK56" s="1"/>
      <c r="BL56" s="1"/>
      <c r="BM56" s="1"/>
      <c r="BN56" s="1"/>
      <c r="BO56" s="1" t="s">
        <v>371</v>
      </c>
      <c r="BP56" s="1" t="s">
        <v>371</v>
      </c>
      <c r="BQ56" s="43">
        <f t="shared" si="5"/>
        <v>0</v>
      </c>
      <c r="BR56" s="45">
        <f t="shared" si="16"/>
        <v>331</v>
      </c>
      <c r="BS56" s="70">
        <f t="shared" si="17"/>
        <v>55.166666666666664</v>
      </c>
      <c r="BT56" s="45" t="str">
        <f t="shared" si="18"/>
        <v>GRADE II</v>
      </c>
      <c r="BU56" s="1"/>
    </row>
    <row r="57" spans="1:73" x14ac:dyDescent="0.25">
      <c r="A57" s="1">
        <v>52</v>
      </c>
      <c r="B57" s="12" t="s">
        <v>60</v>
      </c>
      <c r="C57" s="1">
        <v>7</v>
      </c>
      <c r="D57" s="1">
        <v>18</v>
      </c>
      <c r="E57" s="1">
        <v>8</v>
      </c>
      <c r="F57" s="1">
        <v>16</v>
      </c>
      <c r="G57" s="1">
        <v>43</v>
      </c>
      <c r="H57" s="1">
        <f t="shared" si="6"/>
        <v>92</v>
      </c>
      <c r="I57" s="1">
        <f t="shared" si="0"/>
        <v>46</v>
      </c>
      <c r="J57" s="1"/>
      <c r="K57" s="1">
        <v>14</v>
      </c>
      <c r="L57" s="1">
        <v>25</v>
      </c>
      <c r="M57" s="1">
        <v>14</v>
      </c>
      <c r="N57" s="1">
        <v>14</v>
      </c>
      <c r="O57" s="1">
        <v>38</v>
      </c>
      <c r="P57" s="1">
        <f t="shared" si="7"/>
        <v>105</v>
      </c>
      <c r="Q57" s="1">
        <f t="shared" si="8"/>
        <v>53</v>
      </c>
      <c r="R57" s="1"/>
      <c r="S57" s="1">
        <v>16</v>
      </c>
      <c r="T57" s="1">
        <v>29</v>
      </c>
      <c r="U57" s="1">
        <v>16</v>
      </c>
      <c r="V57" s="1">
        <v>17</v>
      </c>
      <c r="W57" s="1">
        <v>38</v>
      </c>
      <c r="X57" s="1">
        <f t="shared" si="9"/>
        <v>116</v>
      </c>
      <c r="Y57" s="1">
        <f t="shared" si="10"/>
        <v>58</v>
      </c>
      <c r="Z57" s="1"/>
      <c r="AA57" s="1">
        <v>10</v>
      </c>
      <c r="AB57" s="1">
        <v>18</v>
      </c>
      <c r="AC57" s="1">
        <v>11</v>
      </c>
      <c r="AD57" s="1">
        <v>18</v>
      </c>
      <c r="AE57" s="1">
        <v>22</v>
      </c>
      <c r="AF57" s="1">
        <f t="shared" si="11"/>
        <v>79</v>
      </c>
      <c r="AG57" s="1">
        <f t="shared" si="12"/>
        <v>40</v>
      </c>
      <c r="AH57" s="1"/>
      <c r="AI57" s="1">
        <v>11</v>
      </c>
      <c r="AJ57" s="1">
        <v>27</v>
      </c>
      <c r="AK57" s="1">
        <v>11</v>
      </c>
      <c r="AL57" s="1">
        <v>17</v>
      </c>
      <c r="AM57" s="1">
        <v>31</v>
      </c>
      <c r="AN57" s="1">
        <f t="shared" si="13"/>
        <v>97</v>
      </c>
      <c r="AO57" s="1">
        <f t="shared" si="14"/>
        <v>49</v>
      </c>
      <c r="AP57" s="1"/>
      <c r="AQ57" s="1">
        <v>5</v>
      </c>
      <c r="AR57" s="1">
        <v>2</v>
      </c>
      <c r="AS57" s="1">
        <v>5</v>
      </c>
      <c r="AT57" s="1">
        <v>20</v>
      </c>
      <c r="AU57" s="1">
        <v>4</v>
      </c>
      <c r="AV57" s="1">
        <v>14.5</v>
      </c>
      <c r="AW57" s="1">
        <v>4</v>
      </c>
      <c r="AX57" s="1">
        <v>11</v>
      </c>
      <c r="AY57" s="1">
        <f t="shared" si="21"/>
        <v>9</v>
      </c>
      <c r="AZ57" s="1">
        <f t="shared" si="22"/>
        <v>17</v>
      </c>
      <c r="BA57" s="1">
        <f t="shared" si="20"/>
        <v>9</v>
      </c>
      <c r="BB57" s="1">
        <v>15</v>
      </c>
      <c r="BC57" s="1">
        <f t="shared" si="23"/>
        <v>31</v>
      </c>
      <c r="BD57" s="1">
        <f t="shared" si="15"/>
        <v>81</v>
      </c>
      <c r="BE57" s="1">
        <f t="shared" si="19"/>
        <v>41</v>
      </c>
      <c r="BF57" s="1"/>
      <c r="BG57" s="1"/>
      <c r="BH57" s="1"/>
      <c r="BI57" s="1"/>
      <c r="BJ57" s="1"/>
      <c r="BK57" s="1"/>
      <c r="BL57" s="1"/>
      <c r="BM57" s="1"/>
      <c r="BN57" s="1"/>
      <c r="BO57" s="1" t="s">
        <v>371</v>
      </c>
      <c r="BP57" s="1" t="s">
        <v>372</v>
      </c>
      <c r="BQ57" s="43">
        <f t="shared" si="5"/>
        <v>0</v>
      </c>
      <c r="BR57" s="45">
        <f t="shared" si="16"/>
        <v>287</v>
      </c>
      <c r="BS57" s="70">
        <f t="shared" si="17"/>
        <v>47.833333333333336</v>
      </c>
      <c r="BT57" s="45" t="str">
        <f t="shared" si="18"/>
        <v>GRADE II</v>
      </c>
      <c r="BU57" s="1"/>
    </row>
    <row r="58" spans="1:73" x14ac:dyDescent="0.25">
      <c r="A58" s="1">
        <v>53</v>
      </c>
      <c r="B58" s="12" t="s">
        <v>61</v>
      </c>
      <c r="C58" s="1">
        <v>9</v>
      </c>
      <c r="D58" s="1">
        <v>23</v>
      </c>
      <c r="E58" s="1">
        <v>13</v>
      </c>
      <c r="F58" s="1">
        <v>11</v>
      </c>
      <c r="G58" s="1">
        <v>46</v>
      </c>
      <c r="H58" s="1">
        <f t="shared" si="6"/>
        <v>102</v>
      </c>
      <c r="I58" s="1">
        <f t="shared" si="0"/>
        <v>51</v>
      </c>
      <c r="J58" s="1"/>
      <c r="K58" s="1">
        <v>14</v>
      </c>
      <c r="L58" s="1">
        <v>28</v>
      </c>
      <c r="M58" s="1">
        <v>14</v>
      </c>
      <c r="N58" s="1">
        <v>14</v>
      </c>
      <c r="O58" s="1">
        <v>47</v>
      </c>
      <c r="P58" s="1">
        <f t="shared" si="7"/>
        <v>117</v>
      </c>
      <c r="Q58" s="1">
        <f t="shared" si="8"/>
        <v>59</v>
      </c>
      <c r="R58" s="1"/>
      <c r="S58" s="1">
        <v>20</v>
      </c>
      <c r="T58" s="1">
        <v>32</v>
      </c>
      <c r="U58" s="1">
        <v>13</v>
      </c>
      <c r="V58" s="1">
        <v>17</v>
      </c>
      <c r="W58" s="1">
        <v>69</v>
      </c>
      <c r="X58" s="1">
        <f t="shared" si="9"/>
        <v>151</v>
      </c>
      <c r="Y58" s="1">
        <f t="shared" si="10"/>
        <v>76</v>
      </c>
      <c r="Z58" s="1"/>
      <c r="AA58" s="1">
        <v>14</v>
      </c>
      <c r="AB58" s="1">
        <v>24</v>
      </c>
      <c r="AC58" s="1">
        <v>10</v>
      </c>
      <c r="AD58" s="1">
        <v>13</v>
      </c>
      <c r="AE58" s="1">
        <v>45</v>
      </c>
      <c r="AF58" s="1">
        <f t="shared" si="11"/>
        <v>106</v>
      </c>
      <c r="AG58" s="1">
        <f t="shared" si="12"/>
        <v>53</v>
      </c>
      <c r="AH58" s="1"/>
      <c r="AI58" s="1">
        <v>11</v>
      </c>
      <c r="AJ58" s="1">
        <v>37</v>
      </c>
      <c r="AK58" s="1">
        <v>12</v>
      </c>
      <c r="AL58" s="1">
        <v>19</v>
      </c>
      <c r="AM58" s="1">
        <v>45</v>
      </c>
      <c r="AN58" s="1">
        <f t="shared" si="13"/>
        <v>124</v>
      </c>
      <c r="AO58" s="1">
        <f t="shared" si="14"/>
        <v>62</v>
      </c>
      <c r="AP58" s="1"/>
      <c r="AQ58" s="1">
        <v>6</v>
      </c>
      <c r="AR58" s="1">
        <v>5</v>
      </c>
      <c r="AS58" s="1">
        <v>1.5</v>
      </c>
      <c r="AT58" s="1">
        <v>11</v>
      </c>
      <c r="AU58" s="1">
        <v>1</v>
      </c>
      <c r="AV58" s="1">
        <v>14.5</v>
      </c>
      <c r="AW58" s="1">
        <v>2</v>
      </c>
      <c r="AX58" s="1">
        <v>10</v>
      </c>
      <c r="AY58" s="1">
        <f t="shared" si="21"/>
        <v>7</v>
      </c>
      <c r="AZ58" s="1">
        <f t="shared" si="22"/>
        <v>20</v>
      </c>
      <c r="BA58" s="1">
        <f t="shared" ref="BA58:BA89" si="24">ROUND(SUM(AS58,AW58),0)</f>
        <v>4</v>
      </c>
      <c r="BB58" s="1">
        <v>15</v>
      </c>
      <c r="BC58" s="1">
        <f t="shared" si="23"/>
        <v>21</v>
      </c>
      <c r="BD58" s="1">
        <f t="shared" si="15"/>
        <v>67</v>
      </c>
      <c r="BE58" s="1">
        <f t="shared" si="19"/>
        <v>34</v>
      </c>
      <c r="BF58" s="1">
        <v>1</v>
      </c>
      <c r="BG58" s="1"/>
      <c r="BH58" s="1"/>
      <c r="BI58" s="1"/>
      <c r="BJ58" s="1"/>
      <c r="BK58" s="1"/>
      <c r="BL58" s="1"/>
      <c r="BM58" s="1"/>
      <c r="BN58" s="1"/>
      <c r="BO58" s="1" t="s">
        <v>371</v>
      </c>
      <c r="BP58" s="1" t="s">
        <v>372</v>
      </c>
      <c r="BQ58" s="43">
        <f t="shared" si="5"/>
        <v>1</v>
      </c>
      <c r="BR58" s="45">
        <f t="shared" si="16"/>
        <v>335</v>
      </c>
      <c r="BS58" s="70">
        <f t="shared" si="17"/>
        <v>55.833333333333336</v>
      </c>
      <c r="BT58" s="45" t="s">
        <v>375</v>
      </c>
      <c r="BU58" s="1"/>
    </row>
    <row r="59" spans="1:73" x14ac:dyDescent="0.25">
      <c r="A59" s="1">
        <v>54</v>
      </c>
      <c r="B59" s="12" t="s">
        <v>62</v>
      </c>
      <c r="C59" s="1">
        <v>12</v>
      </c>
      <c r="D59" s="1">
        <v>23</v>
      </c>
      <c r="E59" s="1">
        <v>12</v>
      </c>
      <c r="F59" s="1">
        <v>17</v>
      </c>
      <c r="G59" s="1">
        <v>49</v>
      </c>
      <c r="H59" s="1">
        <f t="shared" si="6"/>
        <v>113</v>
      </c>
      <c r="I59" s="1">
        <f t="shared" si="0"/>
        <v>57</v>
      </c>
      <c r="J59" s="1"/>
      <c r="K59" s="1">
        <v>12</v>
      </c>
      <c r="L59" s="1">
        <v>32</v>
      </c>
      <c r="M59" s="1">
        <v>15</v>
      </c>
      <c r="N59" s="1">
        <v>15</v>
      </c>
      <c r="O59" s="1">
        <v>36</v>
      </c>
      <c r="P59" s="1">
        <f t="shared" si="7"/>
        <v>110</v>
      </c>
      <c r="Q59" s="1">
        <f t="shared" si="8"/>
        <v>55</v>
      </c>
      <c r="R59" s="1"/>
      <c r="S59" s="1">
        <v>14</v>
      </c>
      <c r="T59" s="1">
        <v>32</v>
      </c>
      <c r="U59" s="1">
        <v>8</v>
      </c>
      <c r="V59" s="1">
        <v>16</v>
      </c>
      <c r="W59" s="1">
        <v>46</v>
      </c>
      <c r="X59" s="1">
        <f t="shared" si="9"/>
        <v>116</v>
      </c>
      <c r="Y59" s="1">
        <f t="shared" si="10"/>
        <v>58</v>
      </c>
      <c r="Z59" s="1"/>
      <c r="AA59" s="1">
        <v>19</v>
      </c>
      <c r="AB59" s="1">
        <v>20</v>
      </c>
      <c r="AC59" s="1">
        <v>11</v>
      </c>
      <c r="AD59" s="1">
        <v>9</v>
      </c>
      <c r="AE59" s="1">
        <v>36</v>
      </c>
      <c r="AF59" s="1">
        <f t="shared" si="11"/>
        <v>95</v>
      </c>
      <c r="AG59" s="1">
        <f t="shared" si="12"/>
        <v>48</v>
      </c>
      <c r="AH59" s="1"/>
      <c r="AI59" s="1">
        <v>14</v>
      </c>
      <c r="AJ59" s="1">
        <v>36</v>
      </c>
      <c r="AK59" s="1">
        <v>11</v>
      </c>
      <c r="AL59" s="1">
        <v>16</v>
      </c>
      <c r="AM59" s="1">
        <v>39</v>
      </c>
      <c r="AN59" s="1">
        <f t="shared" si="13"/>
        <v>116</v>
      </c>
      <c r="AO59" s="1">
        <f t="shared" si="14"/>
        <v>58</v>
      </c>
      <c r="AP59" s="1"/>
      <c r="AQ59" s="1">
        <v>12</v>
      </c>
      <c r="AR59" s="1">
        <v>14</v>
      </c>
      <c r="AS59" s="1">
        <v>3.5</v>
      </c>
      <c r="AT59" s="1">
        <v>21</v>
      </c>
      <c r="AU59" s="1">
        <v>10</v>
      </c>
      <c r="AV59" s="1">
        <v>16</v>
      </c>
      <c r="AW59" s="1">
        <v>6.5</v>
      </c>
      <c r="AX59" s="1">
        <v>18</v>
      </c>
      <c r="AY59" s="1">
        <f t="shared" ref="AY59:AY90" si="25">ROUND(SUM(AQ59,AU59),0)</f>
        <v>22</v>
      </c>
      <c r="AZ59" s="1">
        <f t="shared" ref="AZ59:AZ90" si="26">ROUND(SUM(AR59,AV59),0)</f>
        <v>30</v>
      </c>
      <c r="BA59" s="1">
        <f t="shared" si="24"/>
        <v>10</v>
      </c>
      <c r="BB59" s="1">
        <v>15</v>
      </c>
      <c r="BC59" s="1">
        <f t="shared" si="23"/>
        <v>39</v>
      </c>
      <c r="BD59" s="1">
        <f t="shared" si="15"/>
        <v>116</v>
      </c>
      <c r="BE59" s="1">
        <f t="shared" si="19"/>
        <v>58</v>
      </c>
      <c r="BF59" s="1"/>
      <c r="BG59" s="1"/>
      <c r="BH59" s="1"/>
      <c r="BI59" s="1"/>
      <c r="BJ59" s="1"/>
      <c r="BK59" s="1"/>
      <c r="BL59" s="1"/>
      <c r="BM59" s="1"/>
      <c r="BN59" s="1"/>
      <c r="BO59" s="1" t="s">
        <v>371</v>
      </c>
      <c r="BP59" s="1" t="s">
        <v>371</v>
      </c>
      <c r="BQ59" s="43">
        <f t="shared" si="5"/>
        <v>0</v>
      </c>
      <c r="BR59" s="45">
        <f t="shared" si="16"/>
        <v>334</v>
      </c>
      <c r="BS59" s="70">
        <f t="shared" si="17"/>
        <v>55.666666666666664</v>
      </c>
      <c r="BT59" s="45" t="str">
        <f t="shared" si="18"/>
        <v>GRADE II</v>
      </c>
      <c r="BU59" s="1"/>
    </row>
    <row r="60" spans="1:73" x14ac:dyDescent="0.25">
      <c r="A60" s="1">
        <v>55</v>
      </c>
      <c r="B60" s="12" t="s">
        <v>63</v>
      </c>
      <c r="C60" s="1">
        <v>4</v>
      </c>
      <c r="D60" s="1">
        <v>14</v>
      </c>
      <c r="E60" s="1">
        <v>9</v>
      </c>
      <c r="F60" s="1">
        <v>16</v>
      </c>
      <c r="G60" s="1">
        <v>42</v>
      </c>
      <c r="H60" s="1">
        <f t="shared" si="6"/>
        <v>85</v>
      </c>
      <c r="I60" s="1">
        <f t="shared" si="0"/>
        <v>43</v>
      </c>
      <c r="J60" s="1"/>
      <c r="K60" s="1">
        <v>7</v>
      </c>
      <c r="L60" s="1">
        <v>21</v>
      </c>
      <c r="M60" s="1">
        <v>13</v>
      </c>
      <c r="N60" s="1">
        <v>16</v>
      </c>
      <c r="O60" s="1">
        <v>25</v>
      </c>
      <c r="P60" s="1">
        <f t="shared" si="7"/>
        <v>82</v>
      </c>
      <c r="Q60" s="1">
        <f t="shared" si="8"/>
        <v>41</v>
      </c>
      <c r="R60" s="1"/>
      <c r="S60" s="1">
        <v>7</v>
      </c>
      <c r="T60" s="1">
        <v>18</v>
      </c>
      <c r="U60" s="1">
        <v>9</v>
      </c>
      <c r="V60" s="1">
        <v>15</v>
      </c>
      <c r="W60" s="1">
        <v>27</v>
      </c>
      <c r="X60" s="1">
        <f t="shared" si="9"/>
        <v>76</v>
      </c>
      <c r="Y60" s="1">
        <f t="shared" si="10"/>
        <v>38</v>
      </c>
      <c r="Z60" s="1"/>
      <c r="AA60" s="1">
        <v>14</v>
      </c>
      <c r="AB60" s="1">
        <v>18</v>
      </c>
      <c r="AC60" s="1">
        <v>10</v>
      </c>
      <c r="AD60" s="1">
        <v>14</v>
      </c>
      <c r="AE60" s="1">
        <v>14</v>
      </c>
      <c r="AF60" s="1">
        <f t="shared" si="11"/>
        <v>70</v>
      </c>
      <c r="AG60" s="1">
        <f t="shared" si="12"/>
        <v>35</v>
      </c>
      <c r="AH60" s="1"/>
      <c r="AI60" s="1">
        <v>8</v>
      </c>
      <c r="AJ60" s="1">
        <v>24</v>
      </c>
      <c r="AK60" s="1">
        <v>11</v>
      </c>
      <c r="AL60" s="1">
        <v>15</v>
      </c>
      <c r="AM60" s="1">
        <v>33</v>
      </c>
      <c r="AN60" s="1">
        <f t="shared" si="13"/>
        <v>91</v>
      </c>
      <c r="AO60" s="1">
        <f t="shared" si="14"/>
        <v>46</v>
      </c>
      <c r="AP60" s="1"/>
      <c r="AQ60" s="1">
        <v>9</v>
      </c>
      <c r="AR60" s="1">
        <v>9</v>
      </c>
      <c r="AS60" s="1">
        <v>3</v>
      </c>
      <c r="AT60" s="1">
        <v>9</v>
      </c>
      <c r="AU60" s="1">
        <v>1</v>
      </c>
      <c r="AV60" s="1">
        <v>6</v>
      </c>
      <c r="AW60" s="1">
        <v>2.5</v>
      </c>
      <c r="AX60" s="1">
        <v>11</v>
      </c>
      <c r="AY60" s="1">
        <f t="shared" si="25"/>
        <v>10</v>
      </c>
      <c r="AZ60" s="1">
        <f t="shared" si="26"/>
        <v>15</v>
      </c>
      <c r="BA60" s="1">
        <f t="shared" si="24"/>
        <v>6</v>
      </c>
      <c r="BB60" s="1">
        <v>7</v>
      </c>
      <c r="BC60" s="1">
        <f t="shared" si="23"/>
        <v>20</v>
      </c>
      <c r="BD60" s="1">
        <f t="shared" si="15"/>
        <v>58</v>
      </c>
      <c r="BE60" s="1">
        <f t="shared" si="19"/>
        <v>29</v>
      </c>
      <c r="BF60" s="1">
        <v>6</v>
      </c>
      <c r="BG60" s="1"/>
      <c r="BH60" s="1"/>
      <c r="BI60" s="1"/>
      <c r="BJ60" s="1"/>
      <c r="BK60" s="1"/>
      <c r="BL60" s="1"/>
      <c r="BM60" s="1"/>
      <c r="BN60" s="1"/>
      <c r="BO60" s="1" t="s">
        <v>371</v>
      </c>
      <c r="BP60" s="1" t="s">
        <v>372</v>
      </c>
      <c r="BQ60" s="43">
        <f t="shared" si="5"/>
        <v>6</v>
      </c>
      <c r="BR60" s="45">
        <f t="shared" si="16"/>
        <v>232</v>
      </c>
      <c r="BS60" s="70">
        <f t="shared" si="17"/>
        <v>38.666666666666664</v>
      </c>
      <c r="BT60" s="45" t="s">
        <v>375</v>
      </c>
      <c r="BU60" s="1"/>
    </row>
    <row r="61" spans="1:73" x14ac:dyDescent="0.25">
      <c r="A61" s="1">
        <v>56</v>
      </c>
      <c r="B61" s="12" t="s">
        <v>64</v>
      </c>
      <c r="C61" s="1">
        <v>13</v>
      </c>
      <c r="D61" s="1">
        <v>24</v>
      </c>
      <c r="E61" s="1">
        <v>18</v>
      </c>
      <c r="F61" s="1">
        <v>16</v>
      </c>
      <c r="G61" s="1">
        <v>49</v>
      </c>
      <c r="H61" s="1">
        <f t="shared" si="6"/>
        <v>120</v>
      </c>
      <c r="I61" s="1">
        <f t="shared" si="0"/>
        <v>60</v>
      </c>
      <c r="J61" s="1"/>
      <c r="K61" s="1">
        <v>16</v>
      </c>
      <c r="L61" s="1">
        <v>27</v>
      </c>
      <c r="M61" s="1">
        <v>15</v>
      </c>
      <c r="N61" s="1">
        <v>15</v>
      </c>
      <c r="O61" s="1">
        <v>31</v>
      </c>
      <c r="P61" s="1">
        <f t="shared" si="7"/>
        <v>104</v>
      </c>
      <c r="Q61" s="1">
        <f t="shared" si="8"/>
        <v>52</v>
      </c>
      <c r="R61" s="1"/>
      <c r="S61" s="1">
        <v>18</v>
      </c>
      <c r="T61" s="1">
        <v>32</v>
      </c>
      <c r="U61" s="1">
        <v>15</v>
      </c>
      <c r="V61" s="1">
        <v>18</v>
      </c>
      <c r="W61" s="1">
        <v>50</v>
      </c>
      <c r="X61" s="1">
        <f t="shared" si="9"/>
        <v>133</v>
      </c>
      <c r="Y61" s="1">
        <f t="shared" si="10"/>
        <v>67</v>
      </c>
      <c r="Z61" s="1"/>
      <c r="AA61" s="1">
        <v>20</v>
      </c>
      <c r="AB61" s="1">
        <v>23</v>
      </c>
      <c r="AC61" s="1">
        <v>12</v>
      </c>
      <c r="AD61" s="1">
        <v>15</v>
      </c>
      <c r="AE61" s="1">
        <v>33</v>
      </c>
      <c r="AF61" s="1">
        <f t="shared" si="11"/>
        <v>103</v>
      </c>
      <c r="AG61" s="1">
        <f t="shared" si="12"/>
        <v>52</v>
      </c>
      <c r="AH61" s="1"/>
      <c r="AI61" s="1">
        <v>17</v>
      </c>
      <c r="AJ61" s="1">
        <v>27</v>
      </c>
      <c r="AK61" s="1">
        <v>19</v>
      </c>
      <c r="AL61" s="1">
        <v>16</v>
      </c>
      <c r="AM61" s="1">
        <v>51</v>
      </c>
      <c r="AN61" s="1">
        <f t="shared" si="13"/>
        <v>130</v>
      </c>
      <c r="AO61" s="1">
        <f t="shared" si="14"/>
        <v>65</v>
      </c>
      <c r="AP61" s="1"/>
      <c r="AQ61" s="1">
        <v>10</v>
      </c>
      <c r="AR61" s="1">
        <v>9</v>
      </c>
      <c r="AS61" s="1">
        <v>4.5</v>
      </c>
      <c r="AT61" s="1">
        <v>19</v>
      </c>
      <c r="AU61" s="1">
        <v>4.5</v>
      </c>
      <c r="AV61" s="1">
        <v>11.5</v>
      </c>
      <c r="AW61" s="1">
        <v>4.5</v>
      </c>
      <c r="AX61" s="1">
        <v>6</v>
      </c>
      <c r="AY61" s="1">
        <f t="shared" si="25"/>
        <v>15</v>
      </c>
      <c r="AZ61" s="1">
        <f t="shared" si="26"/>
        <v>21</v>
      </c>
      <c r="BA61" s="1">
        <f t="shared" si="24"/>
        <v>9</v>
      </c>
      <c r="BB61" s="1">
        <v>13</v>
      </c>
      <c r="BC61" s="1">
        <f t="shared" si="23"/>
        <v>25</v>
      </c>
      <c r="BD61" s="1">
        <f t="shared" si="15"/>
        <v>83</v>
      </c>
      <c r="BE61" s="1">
        <f t="shared" si="19"/>
        <v>42</v>
      </c>
      <c r="BF61" s="1"/>
      <c r="BG61" s="1"/>
      <c r="BH61" s="1"/>
      <c r="BI61" s="1"/>
      <c r="BJ61" s="1"/>
      <c r="BK61" s="1"/>
      <c r="BL61" s="1"/>
      <c r="BM61" s="1"/>
      <c r="BN61" s="1"/>
      <c r="BO61" s="1" t="s">
        <v>371</v>
      </c>
      <c r="BP61" s="1" t="s">
        <v>371</v>
      </c>
      <c r="BQ61" s="43">
        <f t="shared" si="5"/>
        <v>0</v>
      </c>
      <c r="BR61" s="45">
        <f t="shared" si="16"/>
        <v>338</v>
      </c>
      <c r="BS61" s="70">
        <f t="shared" si="17"/>
        <v>56.333333333333336</v>
      </c>
      <c r="BT61" s="45" t="str">
        <f t="shared" si="18"/>
        <v>GRADE II</v>
      </c>
      <c r="BU61" s="1"/>
    </row>
    <row r="62" spans="1:73" x14ac:dyDescent="0.25">
      <c r="A62" s="1">
        <v>57</v>
      </c>
      <c r="B62" s="12" t="s">
        <v>65</v>
      </c>
      <c r="C62" s="1">
        <v>7</v>
      </c>
      <c r="D62" s="1">
        <v>7</v>
      </c>
      <c r="E62" s="1">
        <v>9</v>
      </c>
      <c r="F62" s="1">
        <v>14</v>
      </c>
      <c r="G62" s="1">
        <v>32</v>
      </c>
      <c r="H62" s="1">
        <f t="shared" si="6"/>
        <v>69</v>
      </c>
      <c r="I62" s="1">
        <f t="shared" si="0"/>
        <v>35</v>
      </c>
      <c r="J62" s="1"/>
      <c r="K62" s="1">
        <v>8</v>
      </c>
      <c r="L62" s="1">
        <v>14</v>
      </c>
      <c r="M62" s="1">
        <v>9</v>
      </c>
      <c r="N62" s="1">
        <v>14</v>
      </c>
      <c r="O62" s="1">
        <v>24</v>
      </c>
      <c r="P62" s="1">
        <f t="shared" si="7"/>
        <v>69</v>
      </c>
      <c r="Q62" s="1">
        <f t="shared" si="8"/>
        <v>35</v>
      </c>
      <c r="R62" s="1"/>
      <c r="S62" s="1">
        <v>14</v>
      </c>
      <c r="T62" s="1">
        <v>21</v>
      </c>
      <c r="U62" s="1">
        <v>10</v>
      </c>
      <c r="V62" s="1">
        <v>13</v>
      </c>
      <c r="W62" s="1">
        <v>34</v>
      </c>
      <c r="X62" s="1">
        <f t="shared" si="9"/>
        <v>92</v>
      </c>
      <c r="Y62" s="1">
        <f t="shared" si="10"/>
        <v>46</v>
      </c>
      <c r="Z62" s="1"/>
      <c r="AA62" s="1">
        <v>7</v>
      </c>
      <c r="AB62" s="1">
        <v>7</v>
      </c>
      <c r="AC62" s="1">
        <v>7</v>
      </c>
      <c r="AD62" s="1">
        <v>16</v>
      </c>
      <c r="AE62" s="1">
        <v>20</v>
      </c>
      <c r="AF62" s="1">
        <f t="shared" si="11"/>
        <v>57</v>
      </c>
      <c r="AG62" s="1">
        <f t="shared" si="12"/>
        <v>29</v>
      </c>
      <c r="AH62" s="1">
        <v>6</v>
      </c>
      <c r="AI62" s="1">
        <v>11</v>
      </c>
      <c r="AJ62" s="1">
        <v>8</v>
      </c>
      <c r="AK62" s="1">
        <v>8</v>
      </c>
      <c r="AL62" s="1">
        <v>11</v>
      </c>
      <c r="AM62" s="1">
        <v>31</v>
      </c>
      <c r="AN62" s="1">
        <f t="shared" si="13"/>
        <v>69</v>
      </c>
      <c r="AO62" s="1">
        <f t="shared" si="14"/>
        <v>35</v>
      </c>
      <c r="AP62" s="1"/>
      <c r="AQ62" s="1">
        <v>6</v>
      </c>
      <c r="AR62" s="1">
        <v>5</v>
      </c>
      <c r="AS62" s="1">
        <v>4</v>
      </c>
      <c r="AT62" s="1">
        <v>8</v>
      </c>
      <c r="AU62" s="1">
        <v>0</v>
      </c>
      <c r="AV62" s="1">
        <v>8</v>
      </c>
      <c r="AW62" s="1">
        <v>2</v>
      </c>
      <c r="AX62" s="1">
        <v>11</v>
      </c>
      <c r="AY62" s="1">
        <f t="shared" si="25"/>
        <v>6</v>
      </c>
      <c r="AZ62" s="1">
        <f t="shared" si="26"/>
        <v>13</v>
      </c>
      <c r="BA62" s="1">
        <f t="shared" si="24"/>
        <v>6</v>
      </c>
      <c r="BB62" s="1">
        <v>8</v>
      </c>
      <c r="BC62" s="1">
        <f t="shared" si="23"/>
        <v>19</v>
      </c>
      <c r="BD62" s="1">
        <f t="shared" si="15"/>
        <v>52</v>
      </c>
      <c r="BE62" s="1">
        <f t="shared" si="19"/>
        <v>26</v>
      </c>
      <c r="BF62" s="1">
        <v>9</v>
      </c>
      <c r="BG62" s="1"/>
      <c r="BH62" s="1"/>
      <c r="BI62" s="1"/>
      <c r="BJ62" s="1"/>
      <c r="BK62" s="1"/>
      <c r="BL62" s="1"/>
      <c r="BM62" s="1"/>
      <c r="BN62" s="1"/>
      <c r="BO62" s="1" t="s">
        <v>372</v>
      </c>
      <c r="BP62" s="1" t="s">
        <v>371</v>
      </c>
      <c r="BQ62" s="43">
        <f t="shared" si="5"/>
        <v>15</v>
      </c>
      <c r="BR62" s="45">
        <f t="shared" si="16"/>
        <v>206</v>
      </c>
      <c r="BS62" s="70">
        <f t="shared" si="17"/>
        <v>34.333333333333336</v>
      </c>
      <c r="BT62" s="45" t="s">
        <v>375</v>
      </c>
      <c r="BU62" s="1"/>
    </row>
    <row r="63" spans="1:73" x14ac:dyDescent="0.25">
      <c r="A63" s="1">
        <v>58</v>
      </c>
      <c r="B63" s="12" t="s">
        <v>66</v>
      </c>
      <c r="C63" s="1">
        <v>9</v>
      </c>
      <c r="D63" s="1">
        <v>19</v>
      </c>
      <c r="E63" s="1">
        <v>12</v>
      </c>
      <c r="F63" s="1">
        <v>18</v>
      </c>
      <c r="G63" s="1">
        <v>42</v>
      </c>
      <c r="H63" s="1">
        <f t="shared" si="6"/>
        <v>100</v>
      </c>
      <c r="I63" s="1">
        <f t="shared" si="0"/>
        <v>50</v>
      </c>
      <c r="J63" s="1"/>
      <c r="K63" s="1">
        <v>6</v>
      </c>
      <c r="L63" s="1">
        <v>19</v>
      </c>
      <c r="M63" s="1">
        <v>5</v>
      </c>
      <c r="N63" s="1">
        <v>10</v>
      </c>
      <c r="O63" s="1">
        <v>26</v>
      </c>
      <c r="P63" s="1">
        <f t="shared" si="7"/>
        <v>66</v>
      </c>
      <c r="Q63" s="1">
        <f t="shared" si="8"/>
        <v>33</v>
      </c>
      <c r="R63" s="1">
        <v>2</v>
      </c>
      <c r="S63" s="1">
        <v>14</v>
      </c>
      <c r="T63" s="1">
        <v>32</v>
      </c>
      <c r="U63" s="1">
        <v>7</v>
      </c>
      <c r="V63" s="1">
        <v>16</v>
      </c>
      <c r="W63" s="1">
        <v>31</v>
      </c>
      <c r="X63" s="1">
        <f t="shared" si="9"/>
        <v>100</v>
      </c>
      <c r="Y63" s="1">
        <f t="shared" si="10"/>
        <v>50</v>
      </c>
      <c r="Z63" s="1"/>
      <c r="AA63" s="1">
        <v>14</v>
      </c>
      <c r="AB63" s="1">
        <v>15</v>
      </c>
      <c r="AC63" s="1">
        <v>19</v>
      </c>
      <c r="AD63" s="1">
        <v>9</v>
      </c>
      <c r="AE63" s="1">
        <v>17</v>
      </c>
      <c r="AF63" s="1">
        <f t="shared" si="11"/>
        <v>74</v>
      </c>
      <c r="AG63" s="1">
        <f t="shared" si="12"/>
        <v>37</v>
      </c>
      <c r="AH63" s="1"/>
      <c r="AI63" s="1">
        <v>9</v>
      </c>
      <c r="AJ63" s="1">
        <v>31</v>
      </c>
      <c r="AK63" s="1">
        <v>11</v>
      </c>
      <c r="AL63" s="1">
        <v>16</v>
      </c>
      <c r="AM63" s="1">
        <v>30</v>
      </c>
      <c r="AN63" s="1">
        <f t="shared" si="13"/>
        <v>97</v>
      </c>
      <c r="AO63" s="1">
        <f t="shared" si="14"/>
        <v>49</v>
      </c>
      <c r="AP63" s="1"/>
      <c r="AQ63" s="1">
        <v>12</v>
      </c>
      <c r="AR63" s="1">
        <v>5</v>
      </c>
      <c r="AS63" s="1">
        <v>2.5</v>
      </c>
      <c r="AT63" s="1">
        <v>9</v>
      </c>
      <c r="AU63" s="1">
        <v>2</v>
      </c>
      <c r="AV63" s="1">
        <v>9.5</v>
      </c>
      <c r="AW63" s="1">
        <v>3</v>
      </c>
      <c r="AX63" s="1">
        <v>13</v>
      </c>
      <c r="AY63" s="1">
        <f t="shared" si="25"/>
        <v>14</v>
      </c>
      <c r="AZ63" s="1">
        <f t="shared" si="26"/>
        <v>15</v>
      </c>
      <c r="BA63" s="1">
        <f t="shared" si="24"/>
        <v>6</v>
      </c>
      <c r="BB63" s="1">
        <v>10</v>
      </c>
      <c r="BC63" s="1">
        <f t="shared" si="23"/>
        <v>22</v>
      </c>
      <c r="BD63" s="1">
        <f t="shared" si="15"/>
        <v>67</v>
      </c>
      <c r="BE63" s="1">
        <f t="shared" si="19"/>
        <v>34</v>
      </c>
      <c r="BF63" s="1">
        <v>1</v>
      </c>
      <c r="BG63" s="1"/>
      <c r="BH63" s="1"/>
      <c r="BI63" s="1"/>
      <c r="BJ63" s="1"/>
      <c r="BK63" s="1"/>
      <c r="BL63" s="1"/>
      <c r="BM63" s="1"/>
      <c r="BN63" s="1"/>
      <c r="BO63" s="1" t="s">
        <v>371</v>
      </c>
      <c r="BP63" s="1" t="s">
        <v>372</v>
      </c>
      <c r="BQ63" s="50">
        <f>J63+R63+Z63+AH63+AP63+BF63</f>
        <v>3</v>
      </c>
      <c r="BR63" s="45">
        <f t="shared" si="16"/>
        <v>253</v>
      </c>
      <c r="BS63" s="70">
        <f t="shared" si="17"/>
        <v>42.166666666666664</v>
      </c>
      <c r="BT63" s="45" t="s">
        <v>375</v>
      </c>
      <c r="BU63" s="1"/>
    </row>
    <row r="64" spans="1:73" x14ac:dyDescent="0.25">
      <c r="A64" s="1">
        <v>59</v>
      </c>
      <c r="B64" s="12" t="s">
        <v>67</v>
      </c>
      <c r="C64" s="1">
        <v>6</v>
      </c>
      <c r="D64" s="1">
        <v>16</v>
      </c>
      <c r="E64" s="1">
        <v>15</v>
      </c>
      <c r="F64" s="1">
        <v>15</v>
      </c>
      <c r="G64" s="1">
        <v>44</v>
      </c>
      <c r="H64" s="1">
        <f t="shared" si="6"/>
        <v>96</v>
      </c>
      <c r="I64" s="1">
        <f t="shared" si="0"/>
        <v>48</v>
      </c>
      <c r="J64" s="1"/>
      <c r="K64" s="1">
        <v>8</v>
      </c>
      <c r="L64" s="1">
        <v>20</v>
      </c>
      <c r="M64" s="1">
        <v>15</v>
      </c>
      <c r="N64" s="1">
        <v>16</v>
      </c>
      <c r="O64" s="1">
        <v>41</v>
      </c>
      <c r="P64" s="1">
        <f t="shared" si="7"/>
        <v>100</v>
      </c>
      <c r="Q64" s="1">
        <f t="shared" si="8"/>
        <v>50</v>
      </c>
      <c r="R64" s="1"/>
      <c r="S64" s="1">
        <v>11</v>
      </c>
      <c r="T64" s="1">
        <v>30</v>
      </c>
      <c r="U64" s="1">
        <v>18</v>
      </c>
      <c r="V64" s="1">
        <v>14</v>
      </c>
      <c r="W64" s="1">
        <v>51</v>
      </c>
      <c r="X64" s="1">
        <f t="shared" si="9"/>
        <v>124</v>
      </c>
      <c r="Y64" s="1">
        <f t="shared" si="10"/>
        <v>62</v>
      </c>
      <c r="Z64" s="1"/>
      <c r="AA64" s="1">
        <v>17</v>
      </c>
      <c r="AB64" s="1">
        <v>17</v>
      </c>
      <c r="AC64" s="1">
        <v>10</v>
      </c>
      <c r="AD64" s="1">
        <v>13</v>
      </c>
      <c r="AE64" s="1">
        <v>50</v>
      </c>
      <c r="AF64" s="1">
        <f t="shared" si="11"/>
        <v>107</v>
      </c>
      <c r="AG64" s="1">
        <f t="shared" si="12"/>
        <v>54</v>
      </c>
      <c r="AH64" s="1"/>
      <c r="AI64" s="1">
        <v>6</v>
      </c>
      <c r="AJ64" s="1">
        <v>19</v>
      </c>
      <c r="AK64" s="1">
        <v>14</v>
      </c>
      <c r="AL64" s="1">
        <v>20</v>
      </c>
      <c r="AM64" s="1">
        <v>46</v>
      </c>
      <c r="AN64" s="1">
        <f t="shared" si="13"/>
        <v>105</v>
      </c>
      <c r="AO64" s="1">
        <f t="shared" si="14"/>
        <v>53</v>
      </c>
      <c r="AP64" s="1"/>
      <c r="AQ64" s="1">
        <v>8</v>
      </c>
      <c r="AR64" s="1">
        <v>5</v>
      </c>
      <c r="AS64" s="1">
        <v>2.5</v>
      </c>
      <c r="AT64" s="1">
        <v>10</v>
      </c>
      <c r="AU64" s="1">
        <v>4</v>
      </c>
      <c r="AV64" s="1">
        <v>6.5</v>
      </c>
      <c r="AW64" s="1">
        <v>4</v>
      </c>
      <c r="AX64" s="1">
        <v>19</v>
      </c>
      <c r="AY64" s="1">
        <f t="shared" si="25"/>
        <v>12</v>
      </c>
      <c r="AZ64" s="1">
        <f t="shared" si="26"/>
        <v>12</v>
      </c>
      <c r="BA64" s="1">
        <f t="shared" si="24"/>
        <v>7</v>
      </c>
      <c r="BB64" s="1">
        <v>11</v>
      </c>
      <c r="BC64" s="1">
        <f t="shared" si="23"/>
        <v>29</v>
      </c>
      <c r="BD64" s="1">
        <f t="shared" si="15"/>
        <v>71</v>
      </c>
      <c r="BE64" s="1">
        <f t="shared" si="19"/>
        <v>36</v>
      </c>
      <c r="BF64" s="1"/>
      <c r="BG64" s="1"/>
      <c r="BH64" s="1"/>
      <c r="BI64" s="1"/>
      <c r="BJ64" s="1"/>
      <c r="BK64" s="1"/>
      <c r="BL64" s="1"/>
      <c r="BM64" s="1"/>
      <c r="BN64" s="1"/>
      <c r="BO64" s="1" t="s">
        <v>371</v>
      </c>
      <c r="BP64" s="1" t="s">
        <v>372</v>
      </c>
      <c r="BQ64" s="50">
        <f t="shared" ref="BQ64:BQ125" si="27">J64+R64+Z64+AH64+AP64+BF64</f>
        <v>0</v>
      </c>
      <c r="BR64" s="45">
        <f t="shared" si="16"/>
        <v>303</v>
      </c>
      <c r="BS64" s="70">
        <f t="shared" si="17"/>
        <v>50.5</v>
      </c>
      <c r="BT64" s="45" t="str">
        <f t="shared" si="18"/>
        <v>GRADE II</v>
      </c>
      <c r="BU64" s="1"/>
    </row>
    <row r="65" spans="1:73" x14ac:dyDescent="0.25">
      <c r="A65" s="1">
        <v>60</v>
      </c>
      <c r="B65" s="12" t="s">
        <v>68</v>
      </c>
      <c r="C65" s="1">
        <v>12</v>
      </c>
      <c r="D65" s="1">
        <v>18</v>
      </c>
      <c r="E65" s="1">
        <v>9</v>
      </c>
      <c r="F65" s="1">
        <v>15</v>
      </c>
      <c r="G65" s="1">
        <v>43</v>
      </c>
      <c r="H65" s="1">
        <f t="shared" si="6"/>
        <v>97</v>
      </c>
      <c r="I65" s="1">
        <f t="shared" si="0"/>
        <v>49</v>
      </c>
      <c r="J65" s="1"/>
      <c r="K65" s="1">
        <v>12</v>
      </c>
      <c r="L65" s="1">
        <v>21</v>
      </c>
      <c r="M65" s="1">
        <v>14</v>
      </c>
      <c r="N65" s="1">
        <v>14</v>
      </c>
      <c r="O65" s="1">
        <v>38</v>
      </c>
      <c r="P65" s="1">
        <f t="shared" si="7"/>
        <v>99</v>
      </c>
      <c r="Q65" s="1">
        <f t="shared" si="8"/>
        <v>50</v>
      </c>
      <c r="R65" s="1"/>
      <c r="S65" s="1">
        <v>13</v>
      </c>
      <c r="T65" s="1">
        <v>26</v>
      </c>
      <c r="U65" s="1">
        <v>9</v>
      </c>
      <c r="V65" s="1">
        <v>15</v>
      </c>
      <c r="W65" s="1">
        <v>47</v>
      </c>
      <c r="X65" s="1">
        <f t="shared" si="9"/>
        <v>110</v>
      </c>
      <c r="Y65" s="1">
        <f t="shared" si="10"/>
        <v>55</v>
      </c>
      <c r="Z65" s="1"/>
      <c r="AA65" s="1">
        <v>15</v>
      </c>
      <c r="AB65" s="1">
        <v>20</v>
      </c>
      <c r="AC65" s="1">
        <v>17</v>
      </c>
      <c r="AD65" s="1">
        <v>18</v>
      </c>
      <c r="AE65" s="1">
        <v>35</v>
      </c>
      <c r="AF65" s="1">
        <f t="shared" si="11"/>
        <v>105</v>
      </c>
      <c r="AG65" s="1">
        <f t="shared" si="12"/>
        <v>53</v>
      </c>
      <c r="AH65" s="1"/>
      <c r="AI65" s="1">
        <v>12</v>
      </c>
      <c r="AJ65" s="1">
        <v>23</v>
      </c>
      <c r="AK65" s="1">
        <v>9</v>
      </c>
      <c r="AL65" s="1">
        <v>20</v>
      </c>
      <c r="AM65" s="1">
        <v>43</v>
      </c>
      <c r="AN65" s="1">
        <f t="shared" si="13"/>
        <v>107</v>
      </c>
      <c r="AO65" s="1">
        <f t="shared" si="14"/>
        <v>54</v>
      </c>
      <c r="AP65" s="1"/>
      <c r="AQ65" s="1">
        <v>9</v>
      </c>
      <c r="AR65" s="1">
        <v>14.5</v>
      </c>
      <c r="AS65" s="1">
        <v>3.5</v>
      </c>
      <c r="AT65" s="1">
        <v>8</v>
      </c>
      <c r="AU65" s="1">
        <v>3</v>
      </c>
      <c r="AV65" s="1">
        <v>4.5</v>
      </c>
      <c r="AW65" s="1">
        <v>2.5</v>
      </c>
      <c r="AX65" s="1">
        <v>13</v>
      </c>
      <c r="AY65" s="1">
        <f t="shared" si="25"/>
        <v>12</v>
      </c>
      <c r="AZ65" s="1">
        <f t="shared" si="26"/>
        <v>19</v>
      </c>
      <c r="BA65" s="1">
        <f t="shared" si="24"/>
        <v>6</v>
      </c>
      <c r="BB65" s="1">
        <v>13</v>
      </c>
      <c r="BC65" s="1">
        <f t="shared" si="23"/>
        <v>21</v>
      </c>
      <c r="BD65" s="1">
        <f t="shared" si="15"/>
        <v>71</v>
      </c>
      <c r="BE65" s="1">
        <f t="shared" si="19"/>
        <v>36</v>
      </c>
      <c r="BF65" s="1"/>
      <c r="BG65" s="1"/>
      <c r="BH65" s="1"/>
      <c r="BI65" s="1"/>
      <c r="BJ65" s="1"/>
      <c r="BK65" s="1"/>
      <c r="BL65" s="1"/>
      <c r="BM65" s="1"/>
      <c r="BN65" s="1"/>
      <c r="BO65" s="1" t="s">
        <v>371</v>
      </c>
      <c r="BP65" s="1" t="s">
        <v>372</v>
      </c>
      <c r="BQ65" s="50">
        <f t="shared" si="27"/>
        <v>0</v>
      </c>
      <c r="BR65" s="45">
        <f t="shared" si="16"/>
        <v>297</v>
      </c>
      <c r="BS65" s="70">
        <f t="shared" si="17"/>
        <v>49.5</v>
      </c>
      <c r="BT65" s="45" t="str">
        <f t="shared" si="18"/>
        <v>GRADE II</v>
      </c>
      <c r="BU65" s="1"/>
    </row>
    <row r="66" spans="1:73" x14ac:dyDescent="0.25">
      <c r="A66" s="1">
        <v>61</v>
      </c>
      <c r="B66" s="12" t="s">
        <v>69</v>
      </c>
      <c r="C66" s="1">
        <v>15</v>
      </c>
      <c r="D66" s="1">
        <v>24</v>
      </c>
      <c r="E66" s="1">
        <v>17</v>
      </c>
      <c r="F66" s="1">
        <v>16</v>
      </c>
      <c r="G66" s="1">
        <v>44</v>
      </c>
      <c r="H66" s="1">
        <f t="shared" si="6"/>
        <v>116</v>
      </c>
      <c r="I66" s="1">
        <f t="shared" si="0"/>
        <v>58</v>
      </c>
      <c r="J66" s="1"/>
      <c r="K66" s="1">
        <v>13</v>
      </c>
      <c r="L66" s="1">
        <v>25</v>
      </c>
      <c r="M66" s="1">
        <v>14</v>
      </c>
      <c r="N66" s="1">
        <v>14</v>
      </c>
      <c r="O66" s="1">
        <v>40</v>
      </c>
      <c r="P66" s="1">
        <f t="shared" si="7"/>
        <v>106</v>
      </c>
      <c r="Q66" s="1">
        <f t="shared" si="8"/>
        <v>53</v>
      </c>
      <c r="R66" s="1"/>
      <c r="S66" s="1">
        <v>17</v>
      </c>
      <c r="T66" s="1">
        <v>31</v>
      </c>
      <c r="U66" s="1">
        <v>13</v>
      </c>
      <c r="V66" s="1">
        <v>16</v>
      </c>
      <c r="W66" s="1">
        <v>52</v>
      </c>
      <c r="X66" s="1">
        <f t="shared" si="9"/>
        <v>129</v>
      </c>
      <c r="Y66" s="1">
        <f t="shared" si="10"/>
        <v>65</v>
      </c>
      <c r="Z66" s="1"/>
      <c r="AA66" s="1">
        <v>23</v>
      </c>
      <c r="AB66" s="1">
        <v>31</v>
      </c>
      <c r="AC66" s="1">
        <v>11</v>
      </c>
      <c r="AD66" s="1">
        <v>17</v>
      </c>
      <c r="AE66" s="1">
        <v>29</v>
      </c>
      <c r="AF66" s="1">
        <f t="shared" si="11"/>
        <v>111</v>
      </c>
      <c r="AG66" s="1">
        <f t="shared" si="12"/>
        <v>56</v>
      </c>
      <c r="AH66" s="1"/>
      <c r="AI66" s="1">
        <v>10</v>
      </c>
      <c r="AJ66" s="1">
        <v>31</v>
      </c>
      <c r="AK66" s="1">
        <v>11</v>
      </c>
      <c r="AL66" s="1">
        <v>17</v>
      </c>
      <c r="AM66" s="1">
        <v>32</v>
      </c>
      <c r="AN66" s="1">
        <f t="shared" si="13"/>
        <v>101</v>
      </c>
      <c r="AO66" s="1">
        <f t="shared" si="14"/>
        <v>51</v>
      </c>
      <c r="AP66" s="1"/>
      <c r="AQ66" s="1">
        <v>10</v>
      </c>
      <c r="AR66" s="1">
        <v>7</v>
      </c>
      <c r="AS66" s="1">
        <v>2.5</v>
      </c>
      <c r="AT66" s="1">
        <v>9</v>
      </c>
      <c r="AU66" s="1">
        <v>1</v>
      </c>
      <c r="AV66" s="1">
        <v>11.5</v>
      </c>
      <c r="AW66" s="1">
        <v>3</v>
      </c>
      <c r="AX66" s="1">
        <v>18</v>
      </c>
      <c r="AY66" s="1">
        <f t="shared" si="25"/>
        <v>11</v>
      </c>
      <c r="AZ66" s="1">
        <f t="shared" si="26"/>
        <v>19</v>
      </c>
      <c r="BA66" s="1">
        <f t="shared" si="24"/>
        <v>6</v>
      </c>
      <c r="BB66" s="1">
        <v>11</v>
      </c>
      <c r="BC66" s="1">
        <f t="shared" si="23"/>
        <v>27</v>
      </c>
      <c r="BD66" s="1">
        <f t="shared" si="15"/>
        <v>74</v>
      </c>
      <c r="BE66" s="1">
        <f t="shared" si="19"/>
        <v>37</v>
      </c>
      <c r="BF66" s="1"/>
      <c r="BG66" s="1"/>
      <c r="BH66" s="1"/>
      <c r="BI66" s="1"/>
      <c r="BJ66" s="1"/>
      <c r="BK66" s="1"/>
      <c r="BL66" s="1"/>
      <c r="BM66" s="1"/>
      <c r="BN66" s="1"/>
      <c r="BO66" s="1" t="s">
        <v>371</v>
      </c>
      <c r="BP66" s="1" t="s">
        <v>371</v>
      </c>
      <c r="BQ66" s="50">
        <f t="shared" si="27"/>
        <v>0</v>
      </c>
      <c r="BR66" s="45">
        <f t="shared" si="16"/>
        <v>320</v>
      </c>
      <c r="BS66" s="70">
        <f t="shared" si="17"/>
        <v>53.333333333333336</v>
      </c>
      <c r="BT66" s="45" t="str">
        <f t="shared" si="18"/>
        <v>GRADE II</v>
      </c>
      <c r="BU66" s="1"/>
    </row>
    <row r="67" spans="1:73" x14ac:dyDescent="0.25">
      <c r="A67" s="1">
        <v>62</v>
      </c>
      <c r="B67" s="12" t="s">
        <v>70</v>
      </c>
      <c r="C67" s="1">
        <v>17</v>
      </c>
      <c r="D67" s="1">
        <v>21</v>
      </c>
      <c r="E67" s="1">
        <v>16</v>
      </c>
      <c r="F67" s="1">
        <v>17</v>
      </c>
      <c r="G67" s="1">
        <v>53</v>
      </c>
      <c r="H67" s="1">
        <f t="shared" si="6"/>
        <v>124</v>
      </c>
      <c r="I67" s="1">
        <f t="shared" si="0"/>
        <v>62</v>
      </c>
      <c r="J67" s="1"/>
      <c r="K67" s="1">
        <v>14</v>
      </c>
      <c r="L67" s="1">
        <v>30</v>
      </c>
      <c r="M67" s="1">
        <v>16</v>
      </c>
      <c r="N67" s="1">
        <v>15</v>
      </c>
      <c r="O67" s="1">
        <v>40</v>
      </c>
      <c r="P67" s="1">
        <f t="shared" si="7"/>
        <v>115</v>
      </c>
      <c r="Q67" s="1">
        <f t="shared" si="8"/>
        <v>58</v>
      </c>
      <c r="R67" s="1"/>
      <c r="S67" s="1">
        <v>14</v>
      </c>
      <c r="T67" s="1">
        <v>38</v>
      </c>
      <c r="U67" s="1">
        <v>14</v>
      </c>
      <c r="V67" s="1">
        <v>13</v>
      </c>
      <c r="W67" s="1">
        <v>56</v>
      </c>
      <c r="X67" s="1">
        <f t="shared" si="9"/>
        <v>135</v>
      </c>
      <c r="Y67" s="1">
        <f t="shared" si="10"/>
        <v>68</v>
      </c>
      <c r="Z67" s="1"/>
      <c r="AA67" s="1">
        <v>18</v>
      </c>
      <c r="AB67" s="1">
        <v>20</v>
      </c>
      <c r="AC67" s="1">
        <v>11</v>
      </c>
      <c r="AD67" s="1">
        <v>16</v>
      </c>
      <c r="AE67" s="1">
        <v>27</v>
      </c>
      <c r="AF67" s="1">
        <f t="shared" si="11"/>
        <v>92</v>
      </c>
      <c r="AG67" s="1">
        <f t="shared" si="12"/>
        <v>46</v>
      </c>
      <c r="AH67" s="1"/>
      <c r="AI67" s="1">
        <v>15</v>
      </c>
      <c r="AJ67" s="1">
        <v>29</v>
      </c>
      <c r="AK67" s="1">
        <v>14</v>
      </c>
      <c r="AL67" s="1">
        <v>15</v>
      </c>
      <c r="AM67" s="1">
        <v>45</v>
      </c>
      <c r="AN67" s="1">
        <f t="shared" si="13"/>
        <v>118</v>
      </c>
      <c r="AO67" s="1">
        <f t="shared" si="14"/>
        <v>59</v>
      </c>
      <c r="AP67" s="1"/>
      <c r="AQ67" s="1">
        <v>10</v>
      </c>
      <c r="AR67" s="1">
        <v>14</v>
      </c>
      <c r="AS67" s="1">
        <v>4</v>
      </c>
      <c r="AT67" s="1">
        <v>28</v>
      </c>
      <c r="AU67" s="1">
        <v>6</v>
      </c>
      <c r="AV67" s="1">
        <v>14.5</v>
      </c>
      <c r="AW67" s="1">
        <v>5</v>
      </c>
      <c r="AX67" s="1">
        <v>25</v>
      </c>
      <c r="AY67" s="1">
        <f t="shared" si="25"/>
        <v>16</v>
      </c>
      <c r="AZ67" s="1">
        <f t="shared" si="26"/>
        <v>29</v>
      </c>
      <c r="BA67" s="1">
        <f t="shared" si="24"/>
        <v>9</v>
      </c>
      <c r="BB67" s="1">
        <v>15</v>
      </c>
      <c r="BC67" s="1">
        <f t="shared" si="23"/>
        <v>53</v>
      </c>
      <c r="BD67" s="1">
        <f t="shared" si="15"/>
        <v>122</v>
      </c>
      <c r="BE67" s="1">
        <f t="shared" si="19"/>
        <v>61</v>
      </c>
      <c r="BF67" s="1"/>
      <c r="BG67" s="1"/>
      <c r="BH67" s="1"/>
      <c r="BI67" s="1"/>
      <c r="BJ67" s="1"/>
      <c r="BK67" s="1"/>
      <c r="BL67" s="1"/>
      <c r="BM67" s="1"/>
      <c r="BN67" s="1"/>
      <c r="BO67" s="1" t="s">
        <v>371</v>
      </c>
      <c r="BP67" s="1" t="s">
        <v>371</v>
      </c>
      <c r="BQ67" s="50">
        <f t="shared" si="27"/>
        <v>0</v>
      </c>
      <c r="BR67" s="45">
        <f t="shared" si="16"/>
        <v>354</v>
      </c>
      <c r="BS67" s="70">
        <f t="shared" si="17"/>
        <v>59</v>
      </c>
      <c r="BT67" s="45" t="str">
        <f t="shared" si="18"/>
        <v>GRADE II</v>
      </c>
      <c r="BU67" s="1"/>
    </row>
    <row r="68" spans="1:73" x14ac:dyDescent="0.25">
      <c r="A68" s="1">
        <v>63</v>
      </c>
      <c r="B68" s="12" t="s">
        <v>71</v>
      </c>
      <c r="C68" s="1">
        <v>10</v>
      </c>
      <c r="D68" s="1">
        <v>20</v>
      </c>
      <c r="E68" s="1">
        <v>13</v>
      </c>
      <c r="F68" s="1">
        <v>15</v>
      </c>
      <c r="G68" s="1">
        <v>46</v>
      </c>
      <c r="H68" s="1">
        <f t="shared" si="6"/>
        <v>104</v>
      </c>
      <c r="I68" s="1">
        <f t="shared" si="0"/>
        <v>52</v>
      </c>
      <c r="J68" s="1"/>
      <c r="K68" s="1">
        <v>15</v>
      </c>
      <c r="L68" s="1">
        <v>32</v>
      </c>
      <c r="M68" s="1">
        <v>13</v>
      </c>
      <c r="N68" s="1">
        <v>13</v>
      </c>
      <c r="O68" s="1">
        <v>41</v>
      </c>
      <c r="P68" s="1">
        <f t="shared" si="7"/>
        <v>114</v>
      </c>
      <c r="Q68" s="1">
        <f t="shared" si="8"/>
        <v>57</v>
      </c>
      <c r="R68" s="1"/>
      <c r="S68" s="1">
        <v>18</v>
      </c>
      <c r="T68" s="1">
        <v>38</v>
      </c>
      <c r="U68" s="1">
        <v>12</v>
      </c>
      <c r="V68" s="1">
        <v>17</v>
      </c>
      <c r="W68" s="1">
        <v>49</v>
      </c>
      <c r="X68" s="1">
        <f t="shared" si="9"/>
        <v>134</v>
      </c>
      <c r="Y68" s="1">
        <f t="shared" si="10"/>
        <v>67</v>
      </c>
      <c r="Z68" s="1"/>
      <c r="AA68" s="1">
        <v>18</v>
      </c>
      <c r="AB68" s="1">
        <v>25</v>
      </c>
      <c r="AC68" s="1">
        <v>13</v>
      </c>
      <c r="AD68" s="1">
        <v>16</v>
      </c>
      <c r="AE68" s="1">
        <v>39</v>
      </c>
      <c r="AF68" s="1">
        <f t="shared" si="11"/>
        <v>111</v>
      </c>
      <c r="AG68" s="1">
        <f t="shared" si="12"/>
        <v>56</v>
      </c>
      <c r="AH68" s="1"/>
      <c r="AI68" s="1">
        <v>11</v>
      </c>
      <c r="AJ68" s="1">
        <v>40</v>
      </c>
      <c r="AK68" s="1">
        <v>10</v>
      </c>
      <c r="AL68" s="1">
        <v>16</v>
      </c>
      <c r="AM68" s="1">
        <v>50</v>
      </c>
      <c r="AN68" s="1">
        <f t="shared" si="13"/>
        <v>127</v>
      </c>
      <c r="AO68" s="1">
        <f t="shared" si="14"/>
        <v>64</v>
      </c>
      <c r="AP68" s="1"/>
      <c r="AQ68" s="1">
        <v>9</v>
      </c>
      <c r="AR68" s="1">
        <v>14</v>
      </c>
      <c r="AS68" s="1">
        <v>4.5</v>
      </c>
      <c r="AT68" s="1">
        <v>9</v>
      </c>
      <c r="AU68" s="1">
        <v>4</v>
      </c>
      <c r="AV68" s="1">
        <v>11.5</v>
      </c>
      <c r="AW68" s="1">
        <v>4</v>
      </c>
      <c r="AX68" s="1">
        <v>17</v>
      </c>
      <c r="AY68" s="1">
        <f t="shared" si="25"/>
        <v>13</v>
      </c>
      <c r="AZ68" s="1">
        <f t="shared" si="26"/>
        <v>26</v>
      </c>
      <c r="BA68" s="1">
        <f t="shared" si="24"/>
        <v>9</v>
      </c>
      <c r="BB68" s="1">
        <v>11</v>
      </c>
      <c r="BC68" s="1">
        <f t="shared" si="23"/>
        <v>26</v>
      </c>
      <c r="BD68" s="1">
        <f t="shared" si="15"/>
        <v>85</v>
      </c>
      <c r="BE68" s="1">
        <f t="shared" si="19"/>
        <v>43</v>
      </c>
      <c r="BF68" s="1"/>
      <c r="BG68" s="1"/>
      <c r="BH68" s="1"/>
      <c r="BI68" s="1"/>
      <c r="BJ68" s="1"/>
      <c r="BK68" s="1"/>
      <c r="BL68" s="1"/>
      <c r="BM68" s="1"/>
      <c r="BN68" s="1"/>
      <c r="BO68" s="1" t="s">
        <v>371</v>
      </c>
      <c r="BP68" s="1" t="s">
        <v>371</v>
      </c>
      <c r="BQ68" s="50">
        <f t="shared" si="27"/>
        <v>0</v>
      </c>
      <c r="BR68" s="45">
        <f t="shared" si="16"/>
        <v>339</v>
      </c>
      <c r="BS68" s="70">
        <f t="shared" si="17"/>
        <v>56.5</v>
      </c>
      <c r="BT68" s="45" t="str">
        <f t="shared" si="18"/>
        <v>GRADE II</v>
      </c>
      <c r="BU68" s="1"/>
    </row>
    <row r="69" spans="1:73" x14ac:dyDescent="0.25">
      <c r="A69" s="1">
        <v>64</v>
      </c>
      <c r="B69" s="12" t="s">
        <v>72</v>
      </c>
      <c r="C69" s="1">
        <v>16</v>
      </c>
      <c r="D69" s="1">
        <v>32</v>
      </c>
      <c r="E69" s="1">
        <v>17</v>
      </c>
      <c r="F69" s="1">
        <v>13</v>
      </c>
      <c r="G69" s="1">
        <v>55</v>
      </c>
      <c r="H69" s="1">
        <f t="shared" si="6"/>
        <v>133</v>
      </c>
      <c r="I69" s="1">
        <f t="shared" si="0"/>
        <v>67</v>
      </c>
      <c r="J69" s="1"/>
      <c r="K69" s="1">
        <v>12</v>
      </c>
      <c r="L69" s="1">
        <v>33</v>
      </c>
      <c r="M69" s="1">
        <v>14</v>
      </c>
      <c r="N69" s="1">
        <v>14</v>
      </c>
      <c r="O69" s="1">
        <v>40</v>
      </c>
      <c r="P69" s="1">
        <f t="shared" si="7"/>
        <v>113</v>
      </c>
      <c r="Q69" s="1">
        <f t="shared" si="8"/>
        <v>57</v>
      </c>
      <c r="R69" s="1"/>
      <c r="S69" s="1">
        <v>23</v>
      </c>
      <c r="T69" s="1">
        <v>37</v>
      </c>
      <c r="U69" s="1">
        <v>18</v>
      </c>
      <c r="V69" s="1">
        <v>18</v>
      </c>
      <c r="W69" s="1">
        <v>57</v>
      </c>
      <c r="X69" s="1">
        <f t="shared" si="9"/>
        <v>153</v>
      </c>
      <c r="Y69" s="1">
        <f t="shared" si="10"/>
        <v>77</v>
      </c>
      <c r="Z69" s="1"/>
      <c r="AA69" s="1">
        <v>19</v>
      </c>
      <c r="AB69" s="1">
        <v>27</v>
      </c>
      <c r="AC69" s="1">
        <v>9</v>
      </c>
      <c r="AD69" s="1">
        <v>11</v>
      </c>
      <c r="AE69" s="1">
        <v>30</v>
      </c>
      <c r="AF69" s="1">
        <f t="shared" si="11"/>
        <v>96</v>
      </c>
      <c r="AG69" s="1">
        <f t="shared" si="12"/>
        <v>48</v>
      </c>
      <c r="AH69" s="1"/>
      <c r="AI69" s="1">
        <v>18</v>
      </c>
      <c r="AJ69" s="1">
        <v>39</v>
      </c>
      <c r="AK69" s="1">
        <v>11</v>
      </c>
      <c r="AL69" s="1">
        <v>17</v>
      </c>
      <c r="AM69" s="1">
        <v>64</v>
      </c>
      <c r="AN69" s="1">
        <f t="shared" si="13"/>
        <v>149</v>
      </c>
      <c r="AO69" s="1">
        <f t="shared" si="14"/>
        <v>75</v>
      </c>
      <c r="AP69" s="1"/>
      <c r="AQ69" s="1">
        <v>10</v>
      </c>
      <c r="AR69" s="1">
        <v>13</v>
      </c>
      <c r="AS69" s="1">
        <v>5</v>
      </c>
      <c r="AT69" s="1">
        <v>21</v>
      </c>
      <c r="AU69" s="1">
        <v>6</v>
      </c>
      <c r="AV69" s="1">
        <v>14.5</v>
      </c>
      <c r="AW69" s="1">
        <v>5</v>
      </c>
      <c r="AX69" s="1">
        <v>27</v>
      </c>
      <c r="AY69" s="1">
        <f t="shared" si="25"/>
        <v>16</v>
      </c>
      <c r="AZ69" s="1">
        <f t="shared" si="26"/>
        <v>28</v>
      </c>
      <c r="BA69" s="1">
        <f t="shared" si="24"/>
        <v>10</v>
      </c>
      <c r="BB69" s="1">
        <v>15</v>
      </c>
      <c r="BC69" s="1">
        <f t="shared" si="23"/>
        <v>48</v>
      </c>
      <c r="BD69" s="1">
        <f t="shared" si="15"/>
        <v>117</v>
      </c>
      <c r="BE69" s="1">
        <f t="shared" si="19"/>
        <v>59</v>
      </c>
      <c r="BF69" s="1"/>
      <c r="BG69" s="1"/>
      <c r="BH69" s="1"/>
      <c r="BI69" s="1"/>
      <c r="BJ69" s="1"/>
      <c r="BK69" s="1"/>
      <c r="BL69" s="1"/>
      <c r="BM69" s="1"/>
      <c r="BN69" s="1"/>
      <c r="BO69" s="1" t="s">
        <v>371</v>
      </c>
      <c r="BP69" s="1" t="s">
        <v>371</v>
      </c>
      <c r="BQ69" s="50">
        <f t="shared" si="27"/>
        <v>0</v>
      </c>
      <c r="BR69" s="45">
        <f t="shared" si="16"/>
        <v>383</v>
      </c>
      <c r="BS69" s="70">
        <f t="shared" si="17"/>
        <v>63.833333333333336</v>
      </c>
      <c r="BT69" s="45" t="str">
        <f t="shared" si="18"/>
        <v>GRADE I</v>
      </c>
      <c r="BU69" s="1"/>
    </row>
    <row r="70" spans="1:73" x14ac:dyDescent="0.25">
      <c r="A70" s="1">
        <v>65</v>
      </c>
      <c r="B70" s="12" t="s">
        <v>73</v>
      </c>
      <c r="C70" s="1">
        <v>15</v>
      </c>
      <c r="D70" s="1">
        <v>26</v>
      </c>
      <c r="E70" s="1">
        <v>16</v>
      </c>
      <c r="F70" s="1">
        <v>13</v>
      </c>
      <c r="G70" s="1">
        <v>49</v>
      </c>
      <c r="H70" s="1">
        <f t="shared" si="6"/>
        <v>119</v>
      </c>
      <c r="I70" s="1">
        <f t="shared" si="0"/>
        <v>60</v>
      </c>
      <c r="J70" s="1"/>
      <c r="K70" s="1">
        <v>16</v>
      </c>
      <c r="L70" s="1">
        <v>31</v>
      </c>
      <c r="M70" s="1">
        <v>16</v>
      </c>
      <c r="N70" s="1">
        <v>14</v>
      </c>
      <c r="O70" s="1">
        <v>37</v>
      </c>
      <c r="P70" s="1">
        <f t="shared" si="7"/>
        <v>114</v>
      </c>
      <c r="Q70" s="1">
        <f t="shared" si="8"/>
        <v>57</v>
      </c>
      <c r="R70" s="1"/>
      <c r="S70" s="1">
        <v>13</v>
      </c>
      <c r="T70" s="1">
        <v>34</v>
      </c>
      <c r="U70" s="1">
        <v>16</v>
      </c>
      <c r="V70" s="1">
        <v>17</v>
      </c>
      <c r="W70" s="1">
        <v>43</v>
      </c>
      <c r="X70" s="1">
        <f t="shared" si="9"/>
        <v>123</v>
      </c>
      <c r="Y70" s="1">
        <f t="shared" si="10"/>
        <v>62</v>
      </c>
      <c r="Z70" s="1"/>
      <c r="AA70" s="1">
        <v>21</v>
      </c>
      <c r="AB70" s="1">
        <v>18</v>
      </c>
      <c r="AC70" s="1">
        <v>13</v>
      </c>
      <c r="AD70" s="1">
        <v>14</v>
      </c>
      <c r="AE70" s="1">
        <v>26</v>
      </c>
      <c r="AF70" s="1">
        <f t="shared" si="11"/>
        <v>92</v>
      </c>
      <c r="AG70" s="1">
        <f t="shared" si="12"/>
        <v>46</v>
      </c>
      <c r="AH70" s="1"/>
      <c r="AI70" s="1">
        <v>11</v>
      </c>
      <c r="AJ70" s="1">
        <v>31</v>
      </c>
      <c r="AK70" s="1">
        <v>9</v>
      </c>
      <c r="AL70" s="1">
        <v>17</v>
      </c>
      <c r="AM70" s="1">
        <v>54</v>
      </c>
      <c r="AN70" s="1">
        <f t="shared" si="13"/>
        <v>122</v>
      </c>
      <c r="AO70" s="1">
        <f t="shared" si="14"/>
        <v>61</v>
      </c>
      <c r="AP70" s="1"/>
      <c r="AQ70" s="1">
        <v>12</v>
      </c>
      <c r="AR70" s="1">
        <v>19</v>
      </c>
      <c r="AS70" s="1">
        <v>7</v>
      </c>
      <c r="AT70" s="1">
        <v>22</v>
      </c>
      <c r="AU70" s="1">
        <v>5.5</v>
      </c>
      <c r="AV70" s="1">
        <v>19.5</v>
      </c>
      <c r="AW70" s="1">
        <v>6</v>
      </c>
      <c r="AX70" s="1">
        <v>23</v>
      </c>
      <c r="AY70" s="1">
        <f t="shared" si="25"/>
        <v>18</v>
      </c>
      <c r="AZ70" s="1">
        <f t="shared" si="26"/>
        <v>39</v>
      </c>
      <c r="BA70" s="1">
        <f t="shared" si="24"/>
        <v>13</v>
      </c>
      <c r="BB70" s="1">
        <v>12</v>
      </c>
      <c r="BC70" s="1">
        <f t="shared" ref="BC70:BC101" si="28">ROUND(AT70+AX70,0)</f>
        <v>45</v>
      </c>
      <c r="BD70" s="1">
        <f t="shared" si="15"/>
        <v>127</v>
      </c>
      <c r="BE70" s="1">
        <f t="shared" si="19"/>
        <v>64</v>
      </c>
      <c r="BF70" s="1"/>
      <c r="BG70" s="1"/>
      <c r="BH70" s="1"/>
      <c r="BI70" s="1"/>
      <c r="BJ70" s="1"/>
      <c r="BK70" s="1"/>
      <c r="BL70" s="1"/>
      <c r="BM70" s="1"/>
      <c r="BN70" s="1"/>
      <c r="BO70" s="1" t="s">
        <v>371</v>
      </c>
      <c r="BP70" s="1" t="s">
        <v>372</v>
      </c>
      <c r="BQ70" s="50">
        <f t="shared" si="27"/>
        <v>0</v>
      </c>
      <c r="BR70" s="45">
        <f t="shared" si="16"/>
        <v>350</v>
      </c>
      <c r="BS70" s="70">
        <f t="shared" si="17"/>
        <v>58.333333333333336</v>
      </c>
      <c r="BT70" s="45" t="str">
        <f t="shared" ref="BT70:BT124" si="29">IF(BS70&gt;=75,"GRADE I with Distinction",IF(BS70&gt;=60,"GRADE I",IF(BS70&gt;=45,"GRADE II",IF(BS70&gt;=35,"PASS","FAIL"))))</f>
        <v>GRADE II</v>
      </c>
      <c r="BU70" s="1"/>
    </row>
    <row r="71" spans="1:73" x14ac:dyDescent="0.25">
      <c r="A71" s="1">
        <v>66</v>
      </c>
      <c r="B71" s="12" t="s">
        <v>74</v>
      </c>
      <c r="C71" s="1">
        <v>16</v>
      </c>
      <c r="D71" s="1">
        <v>21</v>
      </c>
      <c r="E71" s="1">
        <v>14</v>
      </c>
      <c r="F71" s="1">
        <v>18</v>
      </c>
      <c r="G71" s="1">
        <v>43</v>
      </c>
      <c r="H71" s="1">
        <f t="shared" ref="H71:H125" si="30">ROUND(SUM(C71:G71),0)</f>
        <v>112</v>
      </c>
      <c r="I71" s="1">
        <f t="shared" ref="I71:I125" si="31">ROUND(H71/2,0)</f>
        <v>56</v>
      </c>
      <c r="J71" s="1"/>
      <c r="K71" s="1">
        <v>13</v>
      </c>
      <c r="L71" s="1">
        <v>21</v>
      </c>
      <c r="M71" s="1">
        <v>12</v>
      </c>
      <c r="N71" s="1">
        <v>14</v>
      </c>
      <c r="O71" s="1">
        <v>31</v>
      </c>
      <c r="P71" s="1">
        <f t="shared" ref="P71:P125" si="32">ROUND(SUM(K71:O71),0)</f>
        <v>91</v>
      </c>
      <c r="Q71" s="1">
        <f t="shared" ref="Q71:Q125" si="33">ROUND(P71/2,0)</f>
        <v>46</v>
      </c>
      <c r="R71" s="1"/>
      <c r="S71" s="1">
        <v>16</v>
      </c>
      <c r="T71" s="1">
        <v>31</v>
      </c>
      <c r="U71" s="1">
        <v>16</v>
      </c>
      <c r="V71" s="1">
        <v>18</v>
      </c>
      <c r="W71" s="1">
        <v>51</v>
      </c>
      <c r="X71" s="1">
        <f t="shared" ref="X71:X125" si="34">ROUND(SUM(S71:W71),0)</f>
        <v>132</v>
      </c>
      <c r="Y71" s="1">
        <f t="shared" ref="Y71:Y125" si="35">ROUND(X71/2,0)</f>
        <v>66</v>
      </c>
      <c r="Z71" s="1"/>
      <c r="AA71" s="1">
        <v>16</v>
      </c>
      <c r="AB71" s="1">
        <v>23</v>
      </c>
      <c r="AC71" s="1">
        <v>11</v>
      </c>
      <c r="AD71" s="1">
        <v>13</v>
      </c>
      <c r="AE71" s="1">
        <v>34</v>
      </c>
      <c r="AF71" s="1">
        <f t="shared" ref="AF71:AF125" si="36">ROUND(SUM(AA71:AE71),0)</f>
        <v>97</v>
      </c>
      <c r="AG71" s="1">
        <f t="shared" ref="AG71:AG125" si="37">ROUND(AF71/2,0)</f>
        <v>49</v>
      </c>
      <c r="AH71" s="1"/>
      <c r="AI71" s="1">
        <v>17</v>
      </c>
      <c r="AJ71" s="1">
        <v>37</v>
      </c>
      <c r="AK71" s="1">
        <v>13</v>
      </c>
      <c r="AL71" s="1">
        <v>19</v>
      </c>
      <c r="AM71" s="1">
        <v>43</v>
      </c>
      <c r="AN71" s="1">
        <f t="shared" ref="AN71:AN125" si="38">ROUND(SUM(AI71:AM71),0)</f>
        <v>129</v>
      </c>
      <c r="AO71" s="1">
        <f t="shared" ref="AO71:AO125" si="39">ROUND(AN71/2,0)</f>
        <v>65</v>
      </c>
      <c r="AP71" s="1"/>
      <c r="AQ71" s="1">
        <v>11</v>
      </c>
      <c r="AR71" s="1">
        <v>6</v>
      </c>
      <c r="AS71" s="1">
        <v>3</v>
      </c>
      <c r="AT71" s="1">
        <v>15</v>
      </c>
      <c r="AU71" s="1">
        <v>4</v>
      </c>
      <c r="AV71" s="1">
        <v>6</v>
      </c>
      <c r="AW71" s="1">
        <v>2.5</v>
      </c>
      <c r="AX71" s="1">
        <v>15</v>
      </c>
      <c r="AY71" s="1">
        <f t="shared" si="25"/>
        <v>15</v>
      </c>
      <c r="AZ71" s="1">
        <f t="shared" si="26"/>
        <v>12</v>
      </c>
      <c r="BA71" s="1">
        <f t="shared" si="24"/>
        <v>6</v>
      </c>
      <c r="BB71" s="1">
        <v>7</v>
      </c>
      <c r="BC71" s="1">
        <f t="shared" si="28"/>
        <v>30</v>
      </c>
      <c r="BD71" s="1">
        <f t="shared" ref="BD71:BD125" si="40">ROUND(SUM(AY71:BC71),0)</f>
        <v>70</v>
      </c>
      <c r="BE71" s="1">
        <f t="shared" si="19"/>
        <v>35</v>
      </c>
      <c r="BF71" s="1"/>
      <c r="BG71" s="1"/>
      <c r="BH71" s="1"/>
      <c r="BI71" s="1"/>
      <c r="BJ71" s="1"/>
      <c r="BK71" s="1"/>
      <c r="BL71" s="1"/>
      <c r="BM71" s="1"/>
      <c r="BN71" s="1"/>
      <c r="BO71" s="1" t="s">
        <v>371</v>
      </c>
      <c r="BP71" s="1" t="s">
        <v>371</v>
      </c>
      <c r="BQ71" s="50">
        <f t="shared" si="27"/>
        <v>0</v>
      </c>
      <c r="BR71" s="45">
        <f t="shared" ref="BR71:BR125" si="41">ROUND(I71+Q71+Y71+AG71+AO71+BE71,0)</f>
        <v>317</v>
      </c>
      <c r="BS71" s="70">
        <f t="shared" ref="BS71:BS125" si="42">BR71/6</f>
        <v>52.833333333333336</v>
      </c>
      <c r="BT71" s="45" t="str">
        <f t="shared" si="29"/>
        <v>GRADE II</v>
      </c>
      <c r="BU71" s="1"/>
    </row>
    <row r="72" spans="1:73" x14ac:dyDescent="0.25">
      <c r="A72" s="1">
        <v>67</v>
      </c>
      <c r="B72" s="12" t="s">
        <v>75</v>
      </c>
      <c r="C72" s="1">
        <v>12</v>
      </c>
      <c r="D72" s="1">
        <v>21</v>
      </c>
      <c r="E72" s="1">
        <v>13</v>
      </c>
      <c r="F72" s="1">
        <v>18</v>
      </c>
      <c r="G72" s="1">
        <v>46</v>
      </c>
      <c r="H72" s="1">
        <f t="shared" si="30"/>
        <v>110</v>
      </c>
      <c r="I72" s="1">
        <f t="shared" si="31"/>
        <v>55</v>
      </c>
      <c r="J72" s="1"/>
      <c r="K72" s="1">
        <v>17</v>
      </c>
      <c r="L72" s="1">
        <v>32</v>
      </c>
      <c r="M72" s="1">
        <v>11</v>
      </c>
      <c r="N72" s="1">
        <v>14</v>
      </c>
      <c r="O72" s="1">
        <v>42</v>
      </c>
      <c r="P72" s="1">
        <f t="shared" si="32"/>
        <v>116</v>
      </c>
      <c r="Q72" s="1">
        <f t="shared" si="33"/>
        <v>58</v>
      </c>
      <c r="R72" s="1"/>
      <c r="S72" s="1">
        <v>15</v>
      </c>
      <c r="T72" s="1">
        <v>31</v>
      </c>
      <c r="U72" s="1">
        <v>10</v>
      </c>
      <c r="V72" s="1">
        <v>11</v>
      </c>
      <c r="W72" s="1">
        <v>39</v>
      </c>
      <c r="X72" s="1">
        <f t="shared" si="34"/>
        <v>106</v>
      </c>
      <c r="Y72" s="1">
        <f t="shared" si="35"/>
        <v>53</v>
      </c>
      <c r="Z72" s="1"/>
      <c r="AA72" s="1">
        <v>10</v>
      </c>
      <c r="AB72" s="1">
        <v>28</v>
      </c>
      <c r="AC72" s="1">
        <v>7</v>
      </c>
      <c r="AD72" s="1">
        <v>6</v>
      </c>
      <c r="AE72" s="1">
        <v>26</v>
      </c>
      <c r="AF72" s="1">
        <f t="shared" si="36"/>
        <v>77</v>
      </c>
      <c r="AG72" s="1">
        <f t="shared" si="37"/>
        <v>39</v>
      </c>
      <c r="AH72" s="1"/>
      <c r="AI72" s="1">
        <v>14</v>
      </c>
      <c r="AJ72" s="1">
        <v>38</v>
      </c>
      <c r="AK72" s="1">
        <v>12</v>
      </c>
      <c r="AL72" s="1">
        <v>15</v>
      </c>
      <c r="AM72" s="1">
        <v>44</v>
      </c>
      <c r="AN72" s="1">
        <f t="shared" si="38"/>
        <v>123</v>
      </c>
      <c r="AO72" s="1">
        <f t="shared" si="39"/>
        <v>62</v>
      </c>
      <c r="AP72" s="1"/>
      <c r="AQ72" s="1">
        <v>12</v>
      </c>
      <c r="AR72" s="1">
        <v>21</v>
      </c>
      <c r="AS72" s="1">
        <v>4.5</v>
      </c>
      <c r="AT72" s="1">
        <v>20</v>
      </c>
      <c r="AU72" s="1">
        <v>5</v>
      </c>
      <c r="AV72" s="1">
        <v>10</v>
      </c>
      <c r="AW72" s="1">
        <v>5</v>
      </c>
      <c r="AX72" s="1">
        <v>18</v>
      </c>
      <c r="AY72" s="1">
        <f t="shared" si="25"/>
        <v>17</v>
      </c>
      <c r="AZ72" s="1">
        <f t="shared" si="26"/>
        <v>31</v>
      </c>
      <c r="BA72" s="1">
        <f t="shared" si="24"/>
        <v>10</v>
      </c>
      <c r="BB72" s="1">
        <v>10</v>
      </c>
      <c r="BC72" s="1">
        <f t="shared" si="28"/>
        <v>38</v>
      </c>
      <c r="BD72" s="1">
        <f t="shared" si="40"/>
        <v>106</v>
      </c>
      <c r="BE72" s="1">
        <f t="shared" ref="BE72:BE125" si="43">ROUND(BD72/2,0)</f>
        <v>53</v>
      </c>
      <c r="BF72" s="1"/>
      <c r="BG72" s="1"/>
      <c r="BH72" s="1"/>
      <c r="BI72" s="1"/>
      <c r="BJ72" s="1"/>
      <c r="BK72" s="1"/>
      <c r="BL72" s="1"/>
      <c r="BM72" s="1"/>
      <c r="BN72" s="1"/>
      <c r="BO72" s="1" t="s">
        <v>371</v>
      </c>
      <c r="BP72" s="1" t="s">
        <v>371</v>
      </c>
      <c r="BQ72" s="50">
        <f t="shared" si="27"/>
        <v>0</v>
      </c>
      <c r="BR72" s="45">
        <f t="shared" si="41"/>
        <v>320</v>
      </c>
      <c r="BS72" s="70">
        <f t="shared" si="42"/>
        <v>53.333333333333336</v>
      </c>
      <c r="BT72" s="45" t="str">
        <f t="shared" si="29"/>
        <v>GRADE II</v>
      </c>
      <c r="BU72" s="1"/>
    </row>
    <row r="73" spans="1:73" s="82" customFormat="1" x14ac:dyDescent="0.25">
      <c r="A73" s="78">
        <v>68</v>
      </c>
      <c r="B73" s="79" t="s">
        <v>76</v>
      </c>
      <c r="C73" s="78">
        <v>7</v>
      </c>
      <c r="D73" s="78">
        <v>12</v>
      </c>
      <c r="E73" s="78">
        <v>7</v>
      </c>
      <c r="F73" s="78">
        <v>18</v>
      </c>
      <c r="G73" s="78">
        <v>26</v>
      </c>
      <c r="H73" s="78">
        <f t="shared" si="30"/>
        <v>70</v>
      </c>
      <c r="I73" s="78">
        <f t="shared" si="31"/>
        <v>35</v>
      </c>
      <c r="J73" s="78"/>
      <c r="K73" s="78">
        <v>9</v>
      </c>
      <c r="L73" s="78">
        <v>24</v>
      </c>
      <c r="M73" s="78">
        <v>12</v>
      </c>
      <c r="N73" s="78">
        <v>14</v>
      </c>
      <c r="O73" s="78">
        <v>34</v>
      </c>
      <c r="P73" s="78">
        <f t="shared" si="32"/>
        <v>93</v>
      </c>
      <c r="Q73" s="78">
        <f t="shared" si="33"/>
        <v>47</v>
      </c>
      <c r="R73" s="78"/>
      <c r="S73" s="78">
        <v>12</v>
      </c>
      <c r="T73" s="78">
        <v>21</v>
      </c>
      <c r="U73" s="78">
        <v>10</v>
      </c>
      <c r="V73" s="78">
        <v>14</v>
      </c>
      <c r="W73" s="78">
        <v>34</v>
      </c>
      <c r="X73" s="78">
        <f t="shared" si="34"/>
        <v>91</v>
      </c>
      <c r="Y73" s="78">
        <f t="shared" si="35"/>
        <v>46</v>
      </c>
      <c r="Z73" s="78"/>
      <c r="AA73" s="78">
        <v>8</v>
      </c>
      <c r="AB73" s="78">
        <v>6</v>
      </c>
      <c r="AC73" s="78">
        <v>4</v>
      </c>
      <c r="AD73" s="78">
        <v>16</v>
      </c>
      <c r="AE73" s="78">
        <v>22</v>
      </c>
      <c r="AF73" s="78">
        <f t="shared" si="36"/>
        <v>56</v>
      </c>
      <c r="AG73" s="78">
        <f t="shared" si="37"/>
        <v>28</v>
      </c>
      <c r="AH73" s="78">
        <v>7</v>
      </c>
      <c r="AI73" s="78">
        <v>11</v>
      </c>
      <c r="AJ73" s="78">
        <v>22</v>
      </c>
      <c r="AK73" s="78">
        <v>12</v>
      </c>
      <c r="AL73" s="78">
        <v>18</v>
      </c>
      <c r="AM73" s="78">
        <v>34</v>
      </c>
      <c r="AN73" s="78">
        <f t="shared" si="38"/>
        <v>97</v>
      </c>
      <c r="AO73" s="78">
        <f t="shared" si="39"/>
        <v>49</v>
      </c>
      <c r="AP73" s="78"/>
      <c r="AQ73" s="78">
        <v>4</v>
      </c>
      <c r="AR73" s="78">
        <v>5</v>
      </c>
      <c r="AS73" s="78">
        <v>2.5</v>
      </c>
      <c r="AT73" s="78">
        <v>15</v>
      </c>
      <c r="AU73" s="78">
        <v>2</v>
      </c>
      <c r="AV73" s="78">
        <v>5</v>
      </c>
      <c r="AW73" s="78">
        <v>3</v>
      </c>
      <c r="AX73" s="78">
        <v>12</v>
      </c>
      <c r="AY73" s="78">
        <f t="shared" si="25"/>
        <v>6</v>
      </c>
      <c r="AZ73" s="78">
        <f t="shared" si="26"/>
        <v>10</v>
      </c>
      <c r="BA73" s="78">
        <f t="shared" si="24"/>
        <v>6</v>
      </c>
      <c r="BB73" s="78">
        <v>5</v>
      </c>
      <c r="BC73" s="78">
        <f t="shared" si="28"/>
        <v>27</v>
      </c>
      <c r="BD73" s="78">
        <f t="shared" si="40"/>
        <v>54</v>
      </c>
      <c r="BE73" s="78">
        <f t="shared" si="43"/>
        <v>27</v>
      </c>
      <c r="BF73" s="78">
        <v>8</v>
      </c>
      <c r="BG73" s="78"/>
      <c r="BH73" s="78"/>
      <c r="BI73" s="78"/>
      <c r="BJ73" s="78"/>
      <c r="BK73" s="78"/>
      <c r="BL73" s="78"/>
      <c r="BM73" s="78"/>
      <c r="BN73" s="78"/>
      <c r="BO73" s="78" t="s">
        <v>371</v>
      </c>
      <c r="BP73" s="78" t="s">
        <v>372</v>
      </c>
      <c r="BQ73" s="153">
        <f t="shared" si="27"/>
        <v>15</v>
      </c>
      <c r="BR73" s="80">
        <f t="shared" si="41"/>
        <v>232</v>
      </c>
      <c r="BS73" s="81">
        <f t="shared" si="42"/>
        <v>38.666666666666664</v>
      </c>
      <c r="BT73" s="80" t="s">
        <v>375</v>
      </c>
      <c r="BU73" s="78"/>
    </row>
    <row r="74" spans="1:73" x14ac:dyDescent="0.25">
      <c r="A74" s="1">
        <v>69</v>
      </c>
      <c r="B74" s="12" t="s">
        <v>77</v>
      </c>
      <c r="C74" s="1">
        <v>12</v>
      </c>
      <c r="D74" s="1">
        <v>16</v>
      </c>
      <c r="E74" s="1">
        <v>11</v>
      </c>
      <c r="F74" s="1">
        <v>14</v>
      </c>
      <c r="G74" s="1">
        <v>45</v>
      </c>
      <c r="H74" s="1">
        <f t="shared" si="30"/>
        <v>98</v>
      </c>
      <c r="I74" s="1">
        <f t="shared" si="31"/>
        <v>49</v>
      </c>
      <c r="J74" s="1"/>
      <c r="K74" s="1">
        <v>16</v>
      </c>
      <c r="L74" s="1">
        <v>34</v>
      </c>
      <c r="M74" s="1">
        <v>14</v>
      </c>
      <c r="N74" s="1">
        <v>14</v>
      </c>
      <c r="O74" s="1">
        <v>49</v>
      </c>
      <c r="P74" s="1">
        <f t="shared" si="32"/>
        <v>127</v>
      </c>
      <c r="Q74" s="1">
        <f t="shared" si="33"/>
        <v>64</v>
      </c>
      <c r="R74" s="1"/>
      <c r="S74" s="1">
        <v>15</v>
      </c>
      <c r="T74" s="1">
        <v>27</v>
      </c>
      <c r="U74" s="1">
        <v>16</v>
      </c>
      <c r="V74" s="1">
        <v>17</v>
      </c>
      <c r="W74" s="1">
        <v>53</v>
      </c>
      <c r="X74" s="1">
        <f t="shared" si="34"/>
        <v>128</v>
      </c>
      <c r="Y74" s="1">
        <f t="shared" si="35"/>
        <v>64</v>
      </c>
      <c r="Z74" s="1"/>
      <c r="AA74" s="1">
        <v>15</v>
      </c>
      <c r="AB74" s="1">
        <v>22</v>
      </c>
      <c r="AC74" s="1">
        <v>15</v>
      </c>
      <c r="AD74" s="1">
        <v>18</v>
      </c>
      <c r="AE74" s="1">
        <v>39</v>
      </c>
      <c r="AF74" s="1">
        <f t="shared" si="36"/>
        <v>109</v>
      </c>
      <c r="AG74" s="1">
        <f t="shared" si="37"/>
        <v>55</v>
      </c>
      <c r="AH74" s="1"/>
      <c r="AI74" s="1">
        <v>22</v>
      </c>
      <c r="AJ74" s="1">
        <v>28</v>
      </c>
      <c r="AK74" s="1">
        <v>11</v>
      </c>
      <c r="AL74" s="1">
        <v>19</v>
      </c>
      <c r="AM74" s="1">
        <v>52</v>
      </c>
      <c r="AN74" s="1">
        <f t="shared" si="38"/>
        <v>132</v>
      </c>
      <c r="AO74" s="1">
        <f t="shared" si="39"/>
        <v>66</v>
      </c>
      <c r="AP74" s="1"/>
      <c r="AQ74" s="1">
        <v>9</v>
      </c>
      <c r="AR74" s="1">
        <v>21.5</v>
      </c>
      <c r="AS74" s="1">
        <v>4</v>
      </c>
      <c r="AT74" s="1">
        <v>12</v>
      </c>
      <c r="AU74" s="1">
        <v>2</v>
      </c>
      <c r="AV74" s="1">
        <v>11</v>
      </c>
      <c r="AW74" s="1">
        <v>3.5</v>
      </c>
      <c r="AX74" s="1">
        <v>19</v>
      </c>
      <c r="AY74" s="1">
        <f t="shared" si="25"/>
        <v>11</v>
      </c>
      <c r="AZ74" s="1">
        <f t="shared" si="26"/>
        <v>33</v>
      </c>
      <c r="BA74" s="1">
        <f t="shared" si="24"/>
        <v>8</v>
      </c>
      <c r="BB74" s="1">
        <v>13</v>
      </c>
      <c r="BC74" s="1">
        <f t="shared" si="28"/>
        <v>31</v>
      </c>
      <c r="BD74" s="1">
        <f t="shared" si="40"/>
        <v>96</v>
      </c>
      <c r="BE74" s="1">
        <f t="shared" si="43"/>
        <v>48</v>
      </c>
      <c r="BF74" s="1"/>
      <c r="BG74" s="1"/>
      <c r="BH74" s="1"/>
      <c r="BI74" s="1"/>
      <c r="BJ74" s="1"/>
      <c r="BK74" s="1"/>
      <c r="BL74" s="1"/>
      <c r="BM74" s="1"/>
      <c r="BN74" s="1"/>
      <c r="BO74" s="1" t="s">
        <v>371</v>
      </c>
      <c r="BP74" s="1" t="s">
        <v>371</v>
      </c>
      <c r="BQ74" s="50">
        <f t="shared" si="27"/>
        <v>0</v>
      </c>
      <c r="BR74" s="45">
        <f t="shared" si="41"/>
        <v>346</v>
      </c>
      <c r="BS74" s="70">
        <f t="shared" si="42"/>
        <v>57.666666666666664</v>
      </c>
      <c r="BT74" s="45" t="str">
        <f t="shared" si="29"/>
        <v>GRADE II</v>
      </c>
      <c r="BU74" s="1"/>
    </row>
    <row r="75" spans="1:73" x14ac:dyDescent="0.25">
      <c r="A75" s="1">
        <v>70</v>
      </c>
      <c r="B75" s="12" t="s">
        <v>78</v>
      </c>
      <c r="C75" s="1">
        <v>12</v>
      </c>
      <c r="D75" s="1">
        <v>16</v>
      </c>
      <c r="E75" s="1">
        <v>14</v>
      </c>
      <c r="F75" s="1">
        <v>16</v>
      </c>
      <c r="G75" s="1">
        <v>50</v>
      </c>
      <c r="H75" s="1">
        <f t="shared" si="30"/>
        <v>108</v>
      </c>
      <c r="I75" s="1">
        <f t="shared" si="31"/>
        <v>54</v>
      </c>
      <c r="J75" s="1"/>
      <c r="K75" s="1">
        <v>14</v>
      </c>
      <c r="L75" s="1">
        <v>26</v>
      </c>
      <c r="M75" s="1">
        <v>13</v>
      </c>
      <c r="N75" s="1">
        <v>15</v>
      </c>
      <c r="O75" s="1">
        <v>35</v>
      </c>
      <c r="P75" s="1">
        <f t="shared" si="32"/>
        <v>103</v>
      </c>
      <c r="Q75" s="1">
        <f t="shared" si="33"/>
        <v>52</v>
      </c>
      <c r="R75" s="1"/>
      <c r="S75" s="1">
        <v>17</v>
      </c>
      <c r="T75" s="1">
        <v>30</v>
      </c>
      <c r="U75" s="1">
        <v>17</v>
      </c>
      <c r="V75" s="1">
        <v>11</v>
      </c>
      <c r="W75" s="1">
        <v>50</v>
      </c>
      <c r="X75" s="1">
        <f t="shared" si="34"/>
        <v>125</v>
      </c>
      <c r="Y75" s="1">
        <f t="shared" si="35"/>
        <v>63</v>
      </c>
      <c r="Z75" s="1"/>
      <c r="AA75" s="1">
        <v>15</v>
      </c>
      <c r="AB75" s="1">
        <v>16</v>
      </c>
      <c r="AC75" s="1">
        <v>12</v>
      </c>
      <c r="AD75" s="1">
        <v>15</v>
      </c>
      <c r="AE75" s="1">
        <v>23</v>
      </c>
      <c r="AF75" s="1">
        <f t="shared" si="36"/>
        <v>81</v>
      </c>
      <c r="AG75" s="1">
        <f t="shared" si="37"/>
        <v>41</v>
      </c>
      <c r="AH75" s="1"/>
      <c r="AI75" s="1">
        <v>9</v>
      </c>
      <c r="AJ75" s="1">
        <v>31</v>
      </c>
      <c r="AK75" s="1">
        <v>15</v>
      </c>
      <c r="AL75" s="1">
        <v>18</v>
      </c>
      <c r="AM75" s="1">
        <v>47</v>
      </c>
      <c r="AN75" s="1">
        <f t="shared" si="38"/>
        <v>120</v>
      </c>
      <c r="AO75" s="1">
        <f t="shared" si="39"/>
        <v>60</v>
      </c>
      <c r="AP75" s="1"/>
      <c r="AQ75" s="1">
        <v>8</v>
      </c>
      <c r="AR75" s="1">
        <v>9</v>
      </c>
      <c r="AS75" s="1">
        <v>3</v>
      </c>
      <c r="AT75" s="1">
        <v>10</v>
      </c>
      <c r="AU75" s="1">
        <v>7</v>
      </c>
      <c r="AV75" s="1">
        <v>9.5</v>
      </c>
      <c r="AW75" s="1">
        <v>5</v>
      </c>
      <c r="AX75" s="1">
        <v>11</v>
      </c>
      <c r="AY75" s="1">
        <f t="shared" si="25"/>
        <v>15</v>
      </c>
      <c r="AZ75" s="1">
        <f t="shared" si="26"/>
        <v>19</v>
      </c>
      <c r="BA75" s="1">
        <f t="shared" si="24"/>
        <v>8</v>
      </c>
      <c r="BB75" s="1">
        <v>6</v>
      </c>
      <c r="BC75" s="1">
        <f t="shared" si="28"/>
        <v>21</v>
      </c>
      <c r="BD75" s="1">
        <f t="shared" si="40"/>
        <v>69</v>
      </c>
      <c r="BE75" s="1">
        <f t="shared" si="43"/>
        <v>35</v>
      </c>
      <c r="BF75" s="1"/>
      <c r="BG75" s="1"/>
      <c r="BH75" s="1"/>
      <c r="BI75" s="1"/>
      <c r="BJ75" s="1"/>
      <c r="BK75" s="1"/>
      <c r="BL75" s="1"/>
      <c r="BM75" s="1"/>
      <c r="BN75" s="1"/>
      <c r="BO75" s="1" t="s">
        <v>371</v>
      </c>
      <c r="BP75" s="1" t="s">
        <v>371</v>
      </c>
      <c r="BQ75" s="50">
        <f t="shared" si="27"/>
        <v>0</v>
      </c>
      <c r="BR75" s="45">
        <f t="shared" si="41"/>
        <v>305</v>
      </c>
      <c r="BS75" s="70">
        <f t="shared" si="42"/>
        <v>50.833333333333336</v>
      </c>
      <c r="BT75" s="45" t="str">
        <f t="shared" si="29"/>
        <v>GRADE II</v>
      </c>
      <c r="BU75" s="1"/>
    </row>
    <row r="76" spans="1:73" x14ac:dyDescent="0.25">
      <c r="A76" s="1">
        <v>71</v>
      </c>
      <c r="B76" s="12" t="s">
        <v>79</v>
      </c>
      <c r="C76" s="1">
        <v>6</v>
      </c>
      <c r="D76" s="1">
        <v>14</v>
      </c>
      <c r="E76" s="1">
        <v>10</v>
      </c>
      <c r="F76" s="1">
        <v>12</v>
      </c>
      <c r="G76" s="1">
        <v>33</v>
      </c>
      <c r="H76" s="1">
        <f t="shared" si="30"/>
        <v>75</v>
      </c>
      <c r="I76" s="1">
        <f t="shared" si="31"/>
        <v>38</v>
      </c>
      <c r="J76" s="1"/>
      <c r="K76" s="1">
        <v>13</v>
      </c>
      <c r="L76" s="1">
        <v>19</v>
      </c>
      <c r="M76" s="1">
        <v>10</v>
      </c>
      <c r="N76" s="1">
        <v>14</v>
      </c>
      <c r="O76" s="1">
        <v>29</v>
      </c>
      <c r="P76" s="1">
        <f t="shared" si="32"/>
        <v>85</v>
      </c>
      <c r="Q76" s="1">
        <f t="shared" si="33"/>
        <v>43</v>
      </c>
      <c r="R76" s="1"/>
      <c r="S76" s="1">
        <v>6</v>
      </c>
      <c r="T76" s="1">
        <v>16</v>
      </c>
      <c r="U76" s="1">
        <v>6</v>
      </c>
      <c r="V76" s="1">
        <v>14</v>
      </c>
      <c r="W76" s="1">
        <v>22</v>
      </c>
      <c r="X76" s="1">
        <f t="shared" si="34"/>
        <v>64</v>
      </c>
      <c r="Y76" s="1">
        <f t="shared" si="35"/>
        <v>32</v>
      </c>
      <c r="Z76" s="1">
        <v>3</v>
      </c>
      <c r="AA76" s="1">
        <v>14</v>
      </c>
      <c r="AB76" s="1">
        <v>15</v>
      </c>
      <c r="AC76" s="1">
        <v>10</v>
      </c>
      <c r="AD76" s="1">
        <v>11</v>
      </c>
      <c r="AE76" s="1">
        <v>27</v>
      </c>
      <c r="AF76" s="1">
        <f t="shared" si="36"/>
        <v>77</v>
      </c>
      <c r="AG76" s="1">
        <f t="shared" si="37"/>
        <v>39</v>
      </c>
      <c r="AH76" s="1"/>
      <c r="AI76" s="1">
        <v>4</v>
      </c>
      <c r="AJ76" s="1">
        <v>10</v>
      </c>
      <c r="AK76" s="1">
        <v>6</v>
      </c>
      <c r="AL76" s="1">
        <v>12</v>
      </c>
      <c r="AM76" s="1">
        <v>34</v>
      </c>
      <c r="AN76" s="1">
        <f t="shared" si="38"/>
        <v>66</v>
      </c>
      <c r="AO76" s="1">
        <f t="shared" si="39"/>
        <v>33</v>
      </c>
      <c r="AP76" s="1">
        <v>2</v>
      </c>
      <c r="AQ76" s="1">
        <v>6</v>
      </c>
      <c r="AR76" s="1">
        <v>5</v>
      </c>
      <c r="AS76" s="1">
        <v>0</v>
      </c>
      <c r="AT76" s="1">
        <v>6</v>
      </c>
      <c r="AU76" s="1">
        <v>1</v>
      </c>
      <c r="AV76" s="1">
        <v>8</v>
      </c>
      <c r="AW76" s="1">
        <v>1</v>
      </c>
      <c r="AX76" s="1">
        <v>12</v>
      </c>
      <c r="AY76" s="1">
        <f t="shared" si="25"/>
        <v>7</v>
      </c>
      <c r="AZ76" s="1">
        <f t="shared" si="26"/>
        <v>13</v>
      </c>
      <c r="BA76" s="1">
        <f t="shared" si="24"/>
        <v>1</v>
      </c>
      <c r="BB76" s="1">
        <v>10</v>
      </c>
      <c r="BC76" s="1">
        <f t="shared" si="28"/>
        <v>18</v>
      </c>
      <c r="BD76" s="1">
        <f t="shared" si="40"/>
        <v>49</v>
      </c>
      <c r="BE76" s="1">
        <f t="shared" si="43"/>
        <v>25</v>
      </c>
      <c r="BF76" s="1">
        <v>10</v>
      </c>
      <c r="BG76" s="1"/>
      <c r="BH76" s="1"/>
      <c r="BI76" s="1"/>
      <c r="BJ76" s="1"/>
      <c r="BK76" s="1"/>
      <c r="BL76" s="1"/>
      <c r="BM76" s="1"/>
      <c r="BN76" s="1"/>
      <c r="BO76" s="1" t="s">
        <v>371</v>
      </c>
      <c r="BP76" s="1" t="s">
        <v>372</v>
      </c>
      <c r="BQ76" s="50">
        <f t="shared" si="27"/>
        <v>15</v>
      </c>
      <c r="BR76" s="45">
        <f t="shared" si="41"/>
        <v>210</v>
      </c>
      <c r="BS76" s="70">
        <f t="shared" si="42"/>
        <v>35</v>
      </c>
      <c r="BT76" s="45" t="s">
        <v>375</v>
      </c>
      <c r="BU76" s="1"/>
    </row>
    <row r="77" spans="1:73" x14ac:dyDescent="0.25">
      <c r="A77" s="1">
        <v>72</v>
      </c>
      <c r="B77" s="12" t="s">
        <v>80</v>
      </c>
      <c r="C77" s="1">
        <v>11</v>
      </c>
      <c r="D77" s="1">
        <v>18</v>
      </c>
      <c r="E77" s="1">
        <v>11</v>
      </c>
      <c r="F77" s="1">
        <v>14</v>
      </c>
      <c r="G77" s="1">
        <v>35</v>
      </c>
      <c r="H77" s="1">
        <f t="shared" si="30"/>
        <v>89</v>
      </c>
      <c r="I77" s="1">
        <f t="shared" si="31"/>
        <v>45</v>
      </c>
      <c r="J77" s="1"/>
      <c r="K77" s="1">
        <v>14</v>
      </c>
      <c r="L77" s="1">
        <v>20</v>
      </c>
      <c r="M77" s="1">
        <v>14</v>
      </c>
      <c r="N77" s="1">
        <v>12</v>
      </c>
      <c r="O77" s="1">
        <v>29</v>
      </c>
      <c r="P77" s="1">
        <f t="shared" si="32"/>
        <v>89</v>
      </c>
      <c r="Q77" s="1">
        <f t="shared" si="33"/>
        <v>45</v>
      </c>
      <c r="R77" s="1"/>
      <c r="S77" s="1">
        <v>12</v>
      </c>
      <c r="T77" s="1">
        <v>23</v>
      </c>
      <c r="U77" s="1">
        <v>12</v>
      </c>
      <c r="V77" s="1">
        <v>13</v>
      </c>
      <c r="W77" s="1">
        <v>33</v>
      </c>
      <c r="X77" s="1">
        <f t="shared" si="34"/>
        <v>93</v>
      </c>
      <c r="Y77" s="1">
        <f t="shared" si="35"/>
        <v>47</v>
      </c>
      <c r="Z77" s="1"/>
      <c r="AA77" s="1">
        <v>18</v>
      </c>
      <c r="AB77" s="1">
        <v>17</v>
      </c>
      <c r="AC77" s="1">
        <v>12</v>
      </c>
      <c r="AD77" s="1">
        <v>15</v>
      </c>
      <c r="AE77" s="1">
        <v>34</v>
      </c>
      <c r="AF77" s="1">
        <f t="shared" si="36"/>
        <v>96</v>
      </c>
      <c r="AG77" s="1">
        <f t="shared" si="37"/>
        <v>48</v>
      </c>
      <c r="AH77" s="1"/>
      <c r="AI77" s="1">
        <v>8</v>
      </c>
      <c r="AJ77" s="1">
        <v>21</v>
      </c>
      <c r="AK77" s="1">
        <v>7</v>
      </c>
      <c r="AL77" s="1">
        <v>12</v>
      </c>
      <c r="AM77" s="1">
        <v>39</v>
      </c>
      <c r="AN77" s="1">
        <f t="shared" si="38"/>
        <v>87</v>
      </c>
      <c r="AO77" s="1">
        <f t="shared" si="39"/>
        <v>44</v>
      </c>
      <c r="AP77" s="1"/>
      <c r="AQ77" s="1">
        <v>9</v>
      </c>
      <c r="AR77" s="1">
        <v>6</v>
      </c>
      <c r="AS77" s="1">
        <v>1</v>
      </c>
      <c r="AT77" s="1">
        <v>8</v>
      </c>
      <c r="AU77" s="1">
        <v>5.5</v>
      </c>
      <c r="AV77" s="1">
        <v>7</v>
      </c>
      <c r="AW77" s="1">
        <v>1</v>
      </c>
      <c r="AX77" s="1">
        <v>9</v>
      </c>
      <c r="AY77" s="1">
        <f t="shared" si="25"/>
        <v>15</v>
      </c>
      <c r="AZ77" s="1">
        <f t="shared" si="26"/>
        <v>13</v>
      </c>
      <c r="BA77" s="1">
        <f t="shared" si="24"/>
        <v>2</v>
      </c>
      <c r="BB77" s="1">
        <v>12</v>
      </c>
      <c r="BC77" s="1">
        <f t="shared" si="28"/>
        <v>17</v>
      </c>
      <c r="BD77" s="1">
        <f t="shared" si="40"/>
        <v>59</v>
      </c>
      <c r="BE77" s="1">
        <f t="shared" si="43"/>
        <v>30</v>
      </c>
      <c r="BF77" s="1">
        <v>5</v>
      </c>
      <c r="BG77" s="1"/>
      <c r="BH77" s="1"/>
      <c r="BI77" s="1"/>
      <c r="BJ77" s="1"/>
      <c r="BK77" s="1"/>
      <c r="BL77" s="1"/>
      <c r="BM77" s="1"/>
      <c r="BN77" s="1"/>
      <c r="BO77" s="1" t="s">
        <v>371</v>
      </c>
      <c r="BP77" s="1" t="s">
        <v>371</v>
      </c>
      <c r="BQ77" s="50">
        <f t="shared" si="27"/>
        <v>5</v>
      </c>
      <c r="BR77" s="45">
        <f t="shared" si="41"/>
        <v>259</v>
      </c>
      <c r="BS77" s="70">
        <f t="shared" si="42"/>
        <v>43.166666666666664</v>
      </c>
      <c r="BT77" s="45" t="s">
        <v>375</v>
      </c>
      <c r="BU77" s="1"/>
    </row>
    <row r="78" spans="1:73" x14ac:dyDescent="0.25">
      <c r="A78" s="1">
        <v>73</v>
      </c>
      <c r="B78" s="12" t="s">
        <v>81</v>
      </c>
      <c r="C78" s="1">
        <v>10</v>
      </c>
      <c r="D78" s="1">
        <v>29</v>
      </c>
      <c r="E78" s="1">
        <v>13</v>
      </c>
      <c r="F78" s="1">
        <v>15</v>
      </c>
      <c r="G78" s="1">
        <v>52</v>
      </c>
      <c r="H78" s="1">
        <f t="shared" si="30"/>
        <v>119</v>
      </c>
      <c r="I78" s="1">
        <f t="shared" si="31"/>
        <v>60</v>
      </c>
      <c r="J78" s="1"/>
      <c r="K78" s="1">
        <v>17</v>
      </c>
      <c r="L78" s="1">
        <v>35</v>
      </c>
      <c r="M78" s="1">
        <v>14</v>
      </c>
      <c r="N78" s="1">
        <v>14</v>
      </c>
      <c r="O78" s="1">
        <v>45</v>
      </c>
      <c r="P78" s="1">
        <f t="shared" si="32"/>
        <v>125</v>
      </c>
      <c r="Q78" s="1">
        <f t="shared" si="33"/>
        <v>63</v>
      </c>
      <c r="R78" s="1"/>
      <c r="S78" s="1">
        <v>17</v>
      </c>
      <c r="T78" s="1">
        <v>39</v>
      </c>
      <c r="U78" s="1">
        <v>16</v>
      </c>
      <c r="V78" s="1">
        <v>14</v>
      </c>
      <c r="W78" s="1">
        <v>54</v>
      </c>
      <c r="X78" s="1">
        <f t="shared" si="34"/>
        <v>140</v>
      </c>
      <c r="Y78" s="1">
        <f t="shared" si="35"/>
        <v>70</v>
      </c>
      <c r="Z78" s="1"/>
      <c r="AA78" s="1">
        <v>21</v>
      </c>
      <c r="AB78" s="1">
        <v>18</v>
      </c>
      <c r="AC78" s="1">
        <v>11</v>
      </c>
      <c r="AD78" s="1">
        <v>20</v>
      </c>
      <c r="AE78" s="1">
        <v>37</v>
      </c>
      <c r="AF78" s="1">
        <f t="shared" si="36"/>
        <v>107</v>
      </c>
      <c r="AG78" s="1">
        <f t="shared" si="37"/>
        <v>54</v>
      </c>
      <c r="AH78" s="1"/>
      <c r="AI78" s="1">
        <v>17</v>
      </c>
      <c r="AJ78" s="1">
        <v>30</v>
      </c>
      <c r="AK78" s="1">
        <v>17</v>
      </c>
      <c r="AL78" s="1">
        <v>15</v>
      </c>
      <c r="AM78" s="1">
        <v>56</v>
      </c>
      <c r="AN78" s="1">
        <f t="shared" si="38"/>
        <v>135</v>
      </c>
      <c r="AO78" s="1">
        <f t="shared" si="39"/>
        <v>68</v>
      </c>
      <c r="AP78" s="1"/>
      <c r="AQ78" s="1">
        <v>10</v>
      </c>
      <c r="AR78" s="1">
        <v>4</v>
      </c>
      <c r="AS78" s="1">
        <v>5.5</v>
      </c>
      <c r="AT78" s="1">
        <v>16</v>
      </c>
      <c r="AU78" s="1">
        <v>0</v>
      </c>
      <c r="AV78" s="1">
        <v>8</v>
      </c>
      <c r="AW78" s="1">
        <v>4.5</v>
      </c>
      <c r="AX78" s="1">
        <v>14</v>
      </c>
      <c r="AY78" s="1">
        <f t="shared" si="25"/>
        <v>10</v>
      </c>
      <c r="AZ78" s="1">
        <f t="shared" si="26"/>
        <v>12</v>
      </c>
      <c r="BA78" s="1">
        <f t="shared" si="24"/>
        <v>10</v>
      </c>
      <c r="BB78" s="1">
        <v>10</v>
      </c>
      <c r="BC78" s="1">
        <f t="shared" si="28"/>
        <v>30</v>
      </c>
      <c r="BD78" s="1">
        <f t="shared" si="40"/>
        <v>72</v>
      </c>
      <c r="BE78" s="1">
        <f t="shared" si="43"/>
        <v>36</v>
      </c>
      <c r="BF78" s="1"/>
      <c r="BG78" s="1"/>
      <c r="BH78" s="1"/>
      <c r="BI78" s="1"/>
      <c r="BJ78" s="1"/>
      <c r="BK78" s="1"/>
      <c r="BL78" s="1"/>
      <c r="BM78" s="1"/>
      <c r="BN78" s="1"/>
      <c r="BO78" s="1" t="s">
        <v>371</v>
      </c>
      <c r="BP78" s="1" t="s">
        <v>371</v>
      </c>
      <c r="BQ78" s="50">
        <f t="shared" si="27"/>
        <v>0</v>
      </c>
      <c r="BR78" s="45">
        <f t="shared" si="41"/>
        <v>351</v>
      </c>
      <c r="BS78" s="70">
        <f t="shared" si="42"/>
        <v>58.5</v>
      </c>
      <c r="BT78" s="45" t="str">
        <f t="shared" si="29"/>
        <v>GRADE II</v>
      </c>
      <c r="BU78" s="1"/>
    </row>
    <row r="79" spans="1:73" x14ac:dyDescent="0.25">
      <c r="A79" s="1">
        <v>74</v>
      </c>
      <c r="B79" s="12" t="s">
        <v>82</v>
      </c>
      <c r="C79" s="1">
        <v>12</v>
      </c>
      <c r="D79" s="1">
        <v>23</v>
      </c>
      <c r="E79" s="1">
        <v>9</v>
      </c>
      <c r="F79" s="1">
        <v>12</v>
      </c>
      <c r="G79" s="1">
        <v>44</v>
      </c>
      <c r="H79" s="1">
        <f t="shared" si="30"/>
        <v>100</v>
      </c>
      <c r="I79" s="1">
        <f t="shared" si="31"/>
        <v>50</v>
      </c>
      <c r="J79" s="1"/>
      <c r="K79" s="1">
        <v>13</v>
      </c>
      <c r="L79" s="1">
        <v>23</v>
      </c>
      <c r="M79" s="1">
        <v>13</v>
      </c>
      <c r="N79" s="1">
        <v>13</v>
      </c>
      <c r="O79" s="1">
        <v>34</v>
      </c>
      <c r="P79" s="1">
        <f t="shared" si="32"/>
        <v>96</v>
      </c>
      <c r="Q79" s="1">
        <f t="shared" si="33"/>
        <v>48</v>
      </c>
      <c r="R79" s="1"/>
      <c r="S79" s="1">
        <v>18</v>
      </c>
      <c r="T79" s="1">
        <v>34</v>
      </c>
      <c r="U79" s="1">
        <v>17</v>
      </c>
      <c r="V79" s="1">
        <v>17</v>
      </c>
      <c r="W79" s="1">
        <v>56</v>
      </c>
      <c r="X79" s="1">
        <f t="shared" si="34"/>
        <v>142</v>
      </c>
      <c r="Y79" s="1">
        <f t="shared" si="35"/>
        <v>71</v>
      </c>
      <c r="Z79" s="1"/>
      <c r="AA79" s="1">
        <v>15</v>
      </c>
      <c r="AB79" s="1">
        <v>22</v>
      </c>
      <c r="AC79" s="1">
        <v>10</v>
      </c>
      <c r="AD79" s="1">
        <v>16</v>
      </c>
      <c r="AE79" s="1">
        <v>25</v>
      </c>
      <c r="AF79" s="1">
        <f t="shared" si="36"/>
        <v>88</v>
      </c>
      <c r="AG79" s="1">
        <f t="shared" si="37"/>
        <v>44</v>
      </c>
      <c r="AH79" s="1"/>
      <c r="AI79" s="1">
        <v>9</v>
      </c>
      <c r="AJ79" s="1">
        <v>35</v>
      </c>
      <c r="AK79" s="1">
        <v>15</v>
      </c>
      <c r="AL79" s="1">
        <v>18</v>
      </c>
      <c r="AM79" s="1">
        <v>43</v>
      </c>
      <c r="AN79" s="1">
        <f t="shared" si="38"/>
        <v>120</v>
      </c>
      <c r="AO79" s="1">
        <f t="shared" si="39"/>
        <v>60</v>
      </c>
      <c r="AP79" s="1"/>
      <c r="AQ79" s="1">
        <v>8</v>
      </c>
      <c r="AR79" s="1">
        <v>3</v>
      </c>
      <c r="AS79" s="1">
        <v>4</v>
      </c>
      <c r="AT79" s="1">
        <v>14</v>
      </c>
      <c r="AU79" s="1">
        <v>6.5</v>
      </c>
      <c r="AV79" s="1">
        <v>8.5</v>
      </c>
      <c r="AW79" s="1">
        <v>2.5</v>
      </c>
      <c r="AX79" s="1">
        <v>19</v>
      </c>
      <c r="AY79" s="1">
        <f t="shared" si="25"/>
        <v>15</v>
      </c>
      <c r="AZ79" s="1">
        <f t="shared" si="26"/>
        <v>12</v>
      </c>
      <c r="BA79" s="1">
        <f t="shared" si="24"/>
        <v>7</v>
      </c>
      <c r="BB79" s="1">
        <v>10</v>
      </c>
      <c r="BC79" s="1">
        <f t="shared" si="28"/>
        <v>33</v>
      </c>
      <c r="BD79" s="1">
        <f t="shared" si="40"/>
        <v>77</v>
      </c>
      <c r="BE79" s="1">
        <f t="shared" si="43"/>
        <v>39</v>
      </c>
      <c r="BF79" s="1"/>
      <c r="BG79" s="1"/>
      <c r="BH79" s="1"/>
      <c r="BI79" s="1"/>
      <c r="BJ79" s="1"/>
      <c r="BK79" s="1"/>
      <c r="BL79" s="1"/>
      <c r="BM79" s="1"/>
      <c r="BN79" s="1"/>
      <c r="BO79" s="1" t="s">
        <v>371</v>
      </c>
      <c r="BP79" s="1" t="s">
        <v>372</v>
      </c>
      <c r="BQ79" s="50">
        <f t="shared" si="27"/>
        <v>0</v>
      </c>
      <c r="BR79" s="45">
        <f t="shared" si="41"/>
        <v>312</v>
      </c>
      <c r="BS79" s="70">
        <f t="shared" si="42"/>
        <v>52</v>
      </c>
      <c r="BT79" s="45" t="str">
        <f t="shared" si="29"/>
        <v>GRADE II</v>
      </c>
      <c r="BU79" s="1"/>
    </row>
    <row r="80" spans="1:73" x14ac:dyDescent="0.25">
      <c r="A80" s="1">
        <v>75</v>
      </c>
      <c r="B80" s="12" t="s">
        <v>83</v>
      </c>
      <c r="C80" s="1">
        <v>14</v>
      </c>
      <c r="D80" s="1">
        <v>28</v>
      </c>
      <c r="E80" s="1">
        <v>15</v>
      </c>
      <c r="F80" s="1">
        <v>16</v>
      </c>
      <c r="G80" s="1">
        <v>47</v>
      </c>
      <c r="H80" s="1">
        <f t="shared" si="30"/>
        <v>120</v>
      </c>
      <c r="I80" s="1">
        <f t="shared" si="31"/>
        <v>60</v>
      </c>
      <c r="J80" s="1"/>
      <c r="K80" s="1">
        <v>13</v>
      </c>
      <c r="L80" s="1">
        <v>20</v>
      </c>
      <c r="M80" s="1">
        <v>13</v>
      </c>
      <c r="N80" s="1">
        <v>15</v>
      </c>
      <c r="O80" s="1">
        <v>35</v>
      </c>
      <c r="P80" s="1">
        <f t="shared" si="32"/>
        <v>96</v>
      </c>
      <c r="Q80" s="1">
        <f t="shared" si="33"/>
        <v>48</v>
      </c>
      <c r="R80" s="1"/>
      <c r="S80" s="1">
        <v>14</v>
      </c>
      <c r="T80" s="1">
        <v>30</v>
      </c>
      <c r="U80" s="1">
        <v>9</v>
      </c>
      <c r="V80" s="1">
        <v>17</v>
      </c>
      <c r="W80" s="1">
        <v>51</v>
      </c>
      <c r="X80" s="1">
        <f t="shared" si="34"/>
        <v>121</v>
      </c>
      <c r="Y80" s="1">
        <f t="shared" si="35"/>
        <v>61</v>
      </c>
      <c r="Z80" s="1"/>
      <c r="AA80" s="1">
        <v>17</v>
      </c>
      <c r="AB80" s="1">
        <v>13</v>
      </c>
      <c r="AC80" s="1">
        <v>9</v>
      </c>
      <c r="AD80" s="1">
        <v>16</v>
      </c>
      <c r="AE80" s="1">
        <v>31</v>
      </c>
      <c r="AF80" s="1">
        <f t="shared" si="36"/>
        <v>86</v>
      </c>
      <c r="AG80" s="1">
        <f t="shared" si="37"/>
        <v>43</v>
      </c>
      <c r="AH80" s="1"/>
      <c r="AI80" s="1">
        <v>14</v>
      </c>
      <c r="AJ80" s="1">
        <v>26</v>
      </c>
      <c r="AK80" s="1">
        <v>10</v>
      </c>
      <c r="AL80" s="1">
        <v>17</v>
      </c>
      <c r="AM80" s="1">
        <v>31</v>
      </c>
      <c r="AN80" s="1">
        <f t="shared" si="38"/>
        <v>98</v>
      </c>
      <c r="AO80" s="1">
        <f t="shared" si="39"/>
        <v>49</v>
      </c>
      <c r="AP80" s="1"/>
      <c r="AQ80" s="1">
        <v>4</v>
      </c>
      <c r="AR80" s="1">
        <v>1</v>
      </c>
      <c r="AS80" s="1">
        <v>3</v>
      </c>
      <c r="AT80" s="1">
        <v>6</v>
      </c>
      <c r="AU80" s="1">
        <v>1</v>
      </c>
      <c r="AV80" s="1">
        <v>5</v>
      </c>
      <c r="AW80" s="1">
        <v>2.5</v>
      </c>
      <c r="AX80" s="1">
        <v>18</v>
      </c>
      <c r="AY80" s="1">
        <f t="shared" si="25"/>
        <v>5</v>
      </c>
      <c r="AZ80" s="1">
        <f t="shared" si="26"/>
        <v>6</v>
      </c>
      <c r="BA80" s="1">
        <f t="shared" si="24"/>
        <v>6</v>
      </c>
      <c r="BB80" s="1">
        <v>10</v>
      </c>
      <c r="BC80" s="1">
        <f t="shared" si="28"/>
        <v>24</v>
      </c>
      <c r="BD80" s="1">
        <f t="shared" si="40"/>
        <v>51</v>
      </c>
      <c r="BE80" s="1">
        <f t="shared" si="43"/>
        <v>26</v>
      </c>
      <c r="BF80" s="1">
        <v>9</v>
      </c>
      <c r="BG80" s="1"/>
      <c r="BH80" s="1"/>
      <c r="BI80" s="1"/>
      <c r="BJ80" s="1"/>
      <c r="BK80" s="1"/>
      <c r="BL80" s="1"/>
      <c r="BM80" s="1"/>
      <c r="BN80" s="1"/>
      <c r="BO80" s="1" t="s">
        <v>371</v>
      </c>
      <c r="BP80" s="1" t="s">
        <v>371</v>
      </c>
      <c r="BQ80" s="50">
        <f t="shared" si="27"/>
        <v>9</v>
      </c>
      <c r="BR80" s="45">
        <f t="shared" si="41"/>
        <v>287</v>
      </c>
      <c r="BS80" s="70">
        <f t="shared" si="42"/>
        <v>47.833333333333336</v>
      </c>
      <c r="BT80" s="45" t="s">
        <v>375</v>
      </c>
      <c r="BU80" s="1"/>
    </row>
    <row r="81" spans="1:73" x14ac:dyDescent="0.25">
      <c r="A81" s="1">
        <v>76</v>
      </c>
      <c r="B81" s="12" t="s">
        <v>84</v>
      </c>
      <c r="C81" s="1">
        <v>13</v>
      </c>
      <c r="D81" s="1">
        <v>23</v>
      </c>
      <c r="E81" s="1">
        <v>15</v>
      </c>
      <c r="F81" s="1">
        <v>15</v>
      </c>
      <c r="G81" s="1">
        <v>49</v>
      </c>
      <c r="H81" s="1">
        <f t="shared" si="30"/>
        <v>115</v>
      </c>
      <c r="I81" s="1">
        <f t="shared" si="31"/>
        <v>58</v>
      </c>
      <c r="J81" s="1"/>
      <c r="K81" s="1">
        <v>9</v>
      </c>
      <c r="L81" s="1">
        <v>20</v>
      </c>
      <c r="M81" s="1">
        <v>10</v>
      </c>
      <c r="N81" s="1">
        <v>14</v>
      </c>
      <c r="O81" s="1">
        <v>37</v>
      </c>
      <c r="P81" s="1">
        <f t="shared" si="32"/>
        <v>90</v>
      </c>
      <c r="Q81" s="1">
        <f t="shared" si="33"/>
        <v>45</v>
      </c>
      <c r="R81" s="1"/>
      <c r="S81" s="1">
        <v>14</v>
      </c>
      <c r="T81" s="1">
        <v>26</v>
      </c>
      <c r="U81" s="1">
        <v>14</v>
      </c>
      <c r="V81" s="1">
        <v>15</v>
      </c>
      <c r="W81" s="1">
        <v>55</v>
      </c>
      <c r="X81" s="1">
        <f t="shared" si="34"/>
        <v>124</v>
      </c>
      <c r="Y81" s="1">
        <f t="shared" si="35"/>
        <v>62</v>
      </c>
      <c r="Z81" s="1"/>
      <c r="AA81" s="1">
        <v>11</v>
      </c>
      <c r="AB81" s="1">
        <v>9</v>
      </c>
      <c r="AC81" s="1">
        <v>6</v>
      </c>
      <c r="AD81" s="1">
        <v>11</v>
      </c>
      <c r="AE81" s="1">
        <v>23</v>
      </c>
      <c r="AF81" s="1">
        <f t="shared" si="36"/>
        <v>60</v>
      </c>
      <c r="AG81" s="1">
        <f t="shared" si="37"/>
        <v>30</v>
      </c>
      <c r="AH81" s="1">
        <v>5</v>
      </c>
      <c r="AI81" s="1">
        <v>7</v>
      </c>
      <c r="AJ81" s="1">
        <v>22</v>
      </c>
      <c r="AK81" s="1">
        <v>9</v>
      </c>
      <c r="AL81" s="1">
        <v>18</v>
      </c>
      <c r="AM81" s="1">
        <v>39</v>
      </c>
      <c r="AN81" s="1">
        <f t="shared" si="38"/>
        <v>95</v>
      </c>
      <c r="AO81" s="1">
        <f t="shared" si="39"/>
        <v>48</v>
      </c>
      <c r="AP81" s="1"/>
      <c r="AQ81" s="1">
        <v>6</v>
      </c>
      <c r="AR81" s="1">
        <v>3</v>
      </c>
      <c r="AS81" s="1">
        <v>4</v>
      </c>
      <c r="AT81" s="1">
        <v>7</v>
      </c>
      <c r="AU81" s="1">
        <v>1</v>
      </c>
      <c r="AV81" s="1">
        <v>5.5</v>
      </c>
      <c r="AW81" s="1">
        <v>4</v>
      </c>
      <c r="AX81" s="1">
        <v>12</v>
      </c>
      <c r="AY81" s="1">
        <f t="shared" si="25"/>
        <v>7</v>
      </c>
      <c r="AZ81" s="1">
        <f t="shared" si="26"/>
        <v>9</v>
      </c>
      <c r="BA81" s="1">
        <f t="shared" si="24"/>
        <v>8</v>
      </c>
      <c r="BB81" s="1">
        <v>6</v>
      </c>
      <c r="BC81" s="1">
        <f t="shared" si="28"/>
        <v>19</v>
      </c>
      <c r="BD81" s="1">
        <f t="shared" si="40"/>
        <v>49</v>
      </c>
      <c r="BE81" s="1">
        <f t="shared" si="43"/>
        <v>25</v>
      </c>
      <c r="BF81" s="1">
        <v>10</v>
      </c>
      <c r="BG81" s="1"/>
      <c r="BH81" s="1"/>
      <c r="BI81" s="1"/>
      <c r="BJ81" s="1"/>
      <c r="BK81" s="1"/>
      <c r="BL81" s="1"/>
      <c r="BM81" s="1"/>
      <c r="BN81" s="1"/>
      <c r="BO81" s="1" t="s">
        <v>371</v>
      </c>
      <c r="BP81" s="1" t="s">
        <v>371</v>
      </c>
      <c r="BQ81" s="50">
        <f t="shared" si="27"/>
        <v>15</v>
      </c>
      <c r="BR81" s="45">
        <f t="shared" si="41"/>
        <v>268</v>
      </c>
      <c r="BS81" s="70">
        <f t="shared" si="42"/>
        <v>44.666666666666664</v>
      </c>
      <c r="BT81" s="45" t="s">
        <v>375</v>
      </c>
      <c r="BU81" s="1"/>
    </row>
    <row r="82" spans="1:73" x14ac:dyDescent="0.25">
      <c r="A82" s="1">
        <v>77</v>
      </c>
      <c r="B82" s="12" t="s">
        <v>85</v>
      </c>
      <c r="C82" s="1">
        <v>12</v>
      </c>
      <c r="D82" s="1">
        <v>17</v>
      </c>
      <c r="E82" s="1">
        <v>15</v>
      </c>
      <c r="F82" s="1">
        <v>12</v>
      </c>
      <c r="G82" s="1">
        <v>47</v>
      </c>
      <c r="H82" s="1">
        <f t="shared" si="30"/>
        <v>103</v>
      </c>
      <c r="I82" s="1">
        <f t="shared" si="31"/>
        <v>52</v>
      </c>
      <c r="J82" s="1"/>
      <c r="K82" s="1">
        <v>6</v>
      </c>
      <c r="L82" s="1">
        <v>18</v>
      </c>
      <c r="M82" s="1">
        <v>11</v>
      </c>
      <c r="N82" s="1">
        <v>13</v>
      </c>
      <c r="O82" s="1">
        <v>30</v>
      </c>
      <c r="P82" s="1">
        <f t="shared" si="32"/>
        <v>78</v>
      </c>
      <c r="Q82" s="1">
        <f t="shared" si="33"/>
        <v>39</v>
      </c>
      <c r="R82" s="1"/>
      <c r="S82" s="1">
        <v>12</v>
      </c>
      <c r="T82" s="1">
        <v>16</v>
      </c>
      <c r="U82" s="1">
        <v>2</v>
      </c>
      <c r="V82" s="1">
        <v>13</v>
      </c>
      <c r="W82" s="1">
        <v>22</v>
      </c>
      <c r="X82" s="1">
        <f t="shared" si="34"/>
        <v>65</v>
      </c>
      <c r="Y82" s="1">
        <f t="shared" si="35"/>
        <v>33</v>
      </c>
      <c r="Z82" s="1">
        <v>2</v>
      </c>
      <c r="AA82" s="1">
        <v>14</v>
      </c>
      <c r="AB82" s="1">
        <v>12</v>
      </c>
      <c r="AC82" s="1">
        <v>9</v>
      </c>
      <c r="AD82" s="1">
        <v>8</v>
      </c>
      <c r="AE82" s="1">
        <v>20</v>
      </c>
      <c r="AF82" s="1">
        <f t="shared" si="36"/>
        <v>63</v>
      </c>
      <c r="AG82" s="1">
        <f t="shared" si="37"/>
        <v>32</v>
      </c>
      <c r="AH82" s="1">
        <v>3</v>
      </c>
      <c r="AI82" s="1">
        <v>5</v>
      </c>
      <c r="AJ82" s="1">
        <v>18</v>
      </c>
      <c r="AK82" s="1">
        <v>9</v>
      </c>
      <c r="AL82" s="1">
        <v>12</v>
      </c>
      <c r="AM82" s="1">
        <v>30</v>
      </c>
      <c r="AN82" s="1">
        <f t="shared" si="38"/>
        <v>74</v>
      </c>
      <c r="AO82" s="1">
        <f t="shared" si="39"/>
        <v>37</v>
      </c>
      <c r="AP82" s="1"/>
      <c r="AQ82" s="1">
        <v>1</v>
      </c>
      <c r="AR82" s="1">
        <v>4</v>
      </c>
      <c r="AS82" s="1">
        <v>1</v>
      </c>
      <c r="AT82" s="1">
        <v>11</v>
      </c>
      <c r="AU82" s="1">
        <v>1</v>
      </c>
      <c r="AV82" s="1">
        <v>7</v>
      </c>
      <c r="AW82" s="1">
        <v>3</v>
      </c>
      <c r="AX82" s="1">
        <v>12</v>
      </c>
      <c r="AY82" s="1">
        <f t="shared" si="25"/>
        <v>2</v>
      </c>
      <c r="AZ82" s="1">
        <f t="shared" si="26"/>
        <v>11</v>
      </c>
      <c r="BA82" s="1">
        <f t="shared" si="24"/>
        <v>4</v>
      </c>
      <c r="BB82" s="1">
        <v>10</v>
      </c>
      <c r="BC82" s="1">
        <f t="shared" si="28"/>
        <v>23</v>
      </c>
      <c r="BD82" s="1">
        <f t="shared" si="40"/>
        <v>50</v>
      </c>
      <c r="BE82" s="1">
        <f t="shared" si="43"/>
        <v>25</v>
      </c>
      <c r="BF82" s="1">
        <v>10</v>
      </c>
      <c r="BG82" s="1"/>
      <c r="BH82" s="1"/>
      <c r="BI82" s="1"/>
      <c r="BJ82" s="1"/>
      <c r="BK82" s="1"/>
      <c r="BL82" s="1"/>
      <c r="BM82" s="1"/>
      <c r="BN82" s="1"/>
      <c r="BO82" s="1" t="s">
        <v>371</v>
      </c>
      <c r="BP82" s="1" t="s">
        <v>371</v>
      </c>
      <c r="BQ82" s="50">
        <f t="shared" si="27"/>
        <v>15</v>
      </c>
      <c r="BR82" s="45">
        <f t="shared" si="41"/>
        <v>218</v>
      </c>
      <c r="BS82" s="70">
        <f t="shared" si="42"/>
        <v>36.333333333333336</v>
      </c>
      <c r="BT82" s="45" t="s">
        <v>375</v>
      </c>
      <c r="BU82" s="1"/>
    </row>
    <row r="83" spans="1:73" x14ac:dyDescent="0.25">
      <c r="A83" s="1">
        <v>78</v>
      </c>
      <c r="B83" s="12" t="s">
        <v>86</v>
      </c>
      <c r="C83" s="1">
        <v>11</v>
      </c>
      <c r="D83" s="1">
        <v>18</v>
      </c>
      <c r="E83" s="1">
        <v>16</v>
      </c>
      <c r="F83" s="1">
        <v>16</v>
      </c>
      <c r="G83" s="1">
        <v>40</v>
      </c>
      <c r="H83" s="1">
        <f t="shared" si="30"/>
        <v>101</v>
      </c>
      <c r="I83" s="1">
        <f t="shared" si="31"/>
        <v>51</v>
      </c>
      <c r="J83" s="1"/>
      <c r="K83" s="1">
        <v>11</v>
      </c>
      <c r="L83" s="1">
        <v>27</v>
      </c>
      <c r="M83" s="1">
        <v>13</v>
      </c>
      <c r="N83" s="1">
        <v>17</v>
      </c>
      <c r="O83" s="1">
        <v>36</v>
      </c>
      <c r="P83" s="1">
        <f t="shared" si="32"/>
        <v>104</v>
      </c>
      <c r="Q83" s="1">
        <f t="shared" si="33"/>
        <v>52</v>
      </c>
      <c r="R83" s="1"/>
      <c r="S83" s="1">
        <v>15</v>
      </c>
      <c r="T83" s="1">
        <v>31</v>
      </c>
      <c r="U83" s="1">
        <v>12</v>
      </c>
      <c r="V83" s="1">
        <v>15</v>
      </c>
      <c r="W83" s="1">
        <v>44</v>
      </c>
      <c r="X83" s="1">
        <f t="shared" si="34"/>
        <v>117</v>
      </c>
      <c r="Y83" s="1">
        <f t="shared" si="35"/>
        <v>59</v>
      </c>
      <c r="Z83" s="1"/>
      <c r="AA83" s="1">
        <v>13</v>
      </c>
      <c r="AB83" s="1">
        <v>15</v>
      </c>
      <c r="AC83" s="1">
        <v>8</v>
      </c>
      <c r="AD83" s="1">
        <v>13</v>
      </c>
      <c r="AE83" s="1">
        <v>34</v>
      </c>
      <c r="AF83" s="1">
        <f t="shared" si="36"/>
        <v>83</v>
      </c>
      <c r="AG83" s="1">
        <f t="shared" si="37"/>
        <v>42</v>
      </c>
      <c r="AH83" s="1"/>
      <c r="AI83" s="1">
        <v>13</v>
      </c>
      <c r="AJ83" s="1">
        <v>38</v>
      </c>
      <c r="AK83" s="1">
        <v>14</v>
      </c>
      <c r="AL83" s="1">
        <v>13</v>
      </c>
      <c r="AM83" s="1">
        <v>44</v>
      </c>
      <c r="AN83" s="1">
        <f t="shared" si="38"/>
        <v>122</v>
      </c>
      <c r="AO83" s="1">
        <f t="shared" si="39"/>
        <v>61</v>
      </c>
      <c r="AP83" s="1"/>
      <c r="AQ83" s="1">
        <v>4</v>
      </c>
      <c r="AR83" s="1">
        <v>3</v>
      </c>
      <c r="AS83" s="1">
        <v>0</v>
      </c>
      <c r="AT83" s="1">
        <v>13</v>
      </c>
      <c r="AU83" s="1">
        <v>1</v>
      </c>
      <c r="AV83" s="1">
        <v>8</v>
      </c>
      <c r="AW83" s="1">
        <v>3.5</v>
      </c>
      <c r="AX83" s="1">
        <v>15</v>
      </c>
      <c r="AY83" s="1">
        <f t="shared" si="25"/>
        <v>5</v>
      </c>
      <c r="AZ83" s="1">
        <f t="shared" si="26"/>
        <v>11</v>
      </c>
      <c r="BA83" s="1">
        <f t="shared" si="24"/>
        <v>4</v>
      </c>
      <c r="BB83" s="1">
        <v>12</v>
      </c>
      <c r="BC83" s="1">
        <f t="shared" si="28"/>
        <v>28</v>
      </c>
      <c r="BD83" s="1">
        <f t="shared" si="40"/>
        <v>60</v>
      </c>
      <c r="BE83" s="1">
        <f t="shared" si="43"/>
        <v>30</v>
      </c>
      <c r="BF83" s="1">
        <v>5</v>
      </c>
      <c r="BG83" s="1"/>
      <c r="BH83" s="1"/>
      <c r="BI83" s="1"/>
      <c r="BJ83" s="1"/>
      <c r="BK83" s="1"/>
      <c r="BL83" s="1"/>
      <c r="BM83" s="1"/>
      <c r="BN83" s="1"/>
      <c r="BO83" s="1" t="s">
        <v>371</v>
      </c>
      <c r="BP83" s="1" t="s">
        <v>372</v>
      </c>
      <c r="BQ83" s="50">
        <f t="shared" si="27"/>
        <v>5</v>
      </c>
      <c r="BR83" s="45">
        <f t="shared" si="41"/>
        <v>295</v>
      </c>
      <c r="BS83" s="70">
        <f t="shared" si="42"/>
        <v>49.166666666666664</v>
      </c>
      <c r="BT83" s="45" t="s">
        <v>375</v>
      </c>
      <c r="BU83" s="1"/>
    </row>
    <row r="84" spans="1:73" x14ac:dyDescent="0.25">
      <c r="A84" s="1">
        <v>79</v>
      </c>
      <c r="B84" s="12" t="s">
        <v>87</v>
      </c>
      <c r="C84" s="1">
        <v>12</v>
      </c>
      <c r="D84" s="1">
        <v>18</v>
      </c>
      <c r="E84" s="1">
        <v>11</v>
      </c>
      <c r="F84" s="1">
        <v>14</v>
      </c>
      <c r="G84" s="1">
        <v>36</v>
      </c>
      <c r="H84" s="1">
        <f t="shared" si="30"/>
        <v>91</v>
      </c>
      <c r="I84" s="1">
        <f t="shared" si="31"/>
        <v>46</v>
      </c>
      <c r="J84" s="1"/>
      <c r="K84" s="1">
        <v>15</v>
      </c>
      <c r="L84" s="1">
        <v>34</v>
      </c>
      <c r="M84" s="1">
        <v>12</v>
      </c>
      <c r="N84" s="1">
        <v>16</v>
      </c>
      <c r="O84" s="1">
        <v>35</v>
      </c>
      <c r="P84" s="1">
        <f t="shared" si="32"/>
        <v>112</v>
      </c>
      <c r="Q84" s="1">
        <f t="shared" si="33"/>
        <v>56</v>
      </c>
      <c r="R84" s="1"/>
      <c r="S84" s="1">
        <v>20</v>
      </c>
      <c r="T84" s="1">
        <v>30</v>
      </c>
      <c r="U84" s="1">
        <v>18</v>
      </c>
      <c r="V84" s="1">
        <v>14</v>
      </c>
      <c r="W84" s="1">
        <v>56</v>
      </c>
      <c r="X84" s="1">
        <f t="shared" si="34"/>
        <v>138</v>
      </c>
      <c r="Y84" s="1">
        <f t="shared" si="35"/>
        <v>69</v>
      </c>
      <c r="Z84" s="1"/>
      <c r="AA84" s="1">
        <v>19</v>
      </c>
      <c r="AB84" s="1">
        <v>28</v>
      </c>
      <c r="AC84" s="1">
        <v>11</v>
      </c>
      <c r="AD84" s="1">
        <v>11</v>
      </c>
      <c r="AE84" s="1">
        <v>39</v>
      </c>
      <c r="AF84" s="1">
        <f t="shared" si="36"/>
        <v>108</v>
      </c>
      <c r="AG84" s="1">
        <f t="shared" si="37"/>
        <v>54</v>
      </c>
      <c r="AH84" s="1"/>
      <c r="AI84" s="1">
        <v>19</v>
      </c>
      <c r="AJ84" s="1">
        <v>40</v>
      </c>
      <c r="AK84" s="1">
        <v>12</v>
      </c>
      <c r="AL84" s="1">
        <v>17</v>
      </c>
      <c r="AM84" s="1">
        <v>46</v>
      </c>
      <c r="AN84" s="1">
        <f t="shared" si="38"/>
        <v>134</v>
      </c>
      <c r="AO84" s="1">
        <f t="shared" si="39"/>
        <v>67</v>
      </c>
      <c r="AP84" s="1"/>
      <c r="AQ84" s="1">
        <v>7</v>
      </c>
      <c r="AR84" s="1">
        <v>17</v>
      </c>
      <c r="AS84" s="1">
        <v>4.5</v>
      </c>
      <c r="AT84" s="1">
        <v>23</v>
      </c>
      <c r="AU84" s="1">
        <v>2</v>
      </c>
      <c r="AV84" s="1">
        <v>9.5</v>
      </c>
      <c r="AW84" s="1">
        <v>5</v>
      </c>
      <c r="AX84" s="1">
        <v>5</v>
      </c>
      <c r="AY84" s="1">
        <f t="shared" si="25"/>
        <v>9</v>
      </c>
      <c r="AZ84" s="1">
        <f t="shared" si="26"/>
        <v>27</v>
      </c>
      <c r="BA84" s="1">
        <f t="shared" si="24"/>
        <v>10</v>
      </c>
      <c r="BB84" s="1">
        <v>9</v>
      </c>
      <c r="BC84" s="1">
        <f t="shared" si="28"/>
        <v>28</v>
      </c>
      <c r="BD84" s="1">
        <f t="shared" si="40"/>
        <v>83</v>
      </c>
      <c r="BE84" s="1">
        <f t="shared" si="43"/>
        <v>42</v>
      </c>
      <c r="BF84" s="1"/>
      <c r="BG84" s="1"/>
      <c r="BH84" s="1"/>
      <c r="BI84" s="1"/>
      <c r="BJ84" s="1"/>
      <c r="BK84" s="1"/>
      <c r="BL84" s="1"/>
      <c r="BM84" s="1"/>
      <c r="BN84" s="1"/>
      <c r="BO84" s="1" t="s">
        <v>371</v>
      </c>
      <c r="BP84" s="1" t="s">
        <v>372</v>
      </c>
      <c r="BQ84" s="50">
        <f t="shared" si="27"/>
        <v>0</v>
      </c>
      <c r="BR84" s="45">
        <f t="shared" si="41"/>
        <v>334</v>
      </c>
      <c r="BS84" s="70">
        <f t="shared" si="42"/>
        <v>55.666666666666664</v>
      </c>
      <c r="BT84" s="45" t="str">
        <f t="shared" si="29"/>
        <v>GRADE II</v>
      </c>
      <c r="BU84" s="1"/>
    </row>
    <row r="85" spans="1:73" x14ac:dyDescent="0.25">
      <c r="A85" s="1">
        <v>80</v>
      </c>
      <c r="B85" s="12" t="s">
        <v>88</v>
      </c>
      <c r="C85" s="1">
        <v>12</v>
      </c>
      <c r="D85" s="1">
        <v>21</v>
      </c>
      <c r="E85" s="1">
        <v>9</v>
      </c>
      <c r="F85" s="1">
        <v>14</v>
      </c>
      <c r="G85" s="1">
        <v>49</v>
      </c>
      <c r="H85" s="1">
        <f t="shared" si="30"/>
        <v>105</v>
      </c>
      <c r="I85" s="1">
        <f t="shared" si="31"/>
        <v>53</v>
      </c>
      <c r="J85" s="1"/>
      <c r="K85" s="1">
        <v>12</v>
      </c>
      <c r="L85" s="1">
        <v>30</v>
      </c>
      <c r="M85" s="1">
        <v>15</v>
      </c>
      <c r="N85" s="1">
        <v>14</v>
      </c>
      <c r="O85" s="1">
        <v>45</v>
      </c>
      <c r="P85" s="1">
        <f t="shared" si="32"/>
        <v>116</v>
      </c>
      <c r="Q85" s="1">
        <f t="shared" si="33"/>
        <v>58</v>
      </c>
      <c r="R85" s="1"/>
      <c r="S85" s="1">
        <v>21</v>
      </c>
      <c r="T85" s="1">
        <v>38</v>
      </c>
      <c r="U85" s="1">
        <v>19</v>
      </c>
      <c r="V85" s="1">
        <v>17</v>
      </c>
      <c r="W85" s="1">
        <v>57</v>
      </c>
      <c r="X85" s="1">
        <f t="shared" si="34"/>
        <v>152</v>
      </c>
      <c r="Y85" s="1">
        <f t="shared" si="35"/>
        <v>76</v>
      </c>
      <c r="Z85" s="1"/>
      <c r="AA85" s="1">
        <v>21</v>
      </c>
      <c r="AB85" s="1">
        <v>30</v>
      </c>
      <c r="AC85" s="1">
        <v>11</v>
      </c>
      <c r="AD85" s="1">
        <v>15</v>
      </c>
      <c r="AE85" s="1">
        <v>47</v>
      </c>
      <c r="AF85" s="1">
        <f t="shared" si="36"/>
        <v>124</v>
      </c>
      <c r="AG85" s="1">
        <f t="shared" si="37"/>
        <v>62</v>
      </c>
      <c r="AH85" s="1"/>
      <c r="AI85" s="1">
        <v>18</v>
      </c>
      <c r="AJ85" s="1">
        <v>27</v>
      </c>
      <c r="AK85" s="1">
        <v>10</v>
      </c>
      <c r="AL85" s="1">
        <v>18</v>
      </c>
      <c r="AM85" s="1">
        <v>59</v>
      </c>
      <c r="AN85" s="1">
        <f t="shared" si="38"/>
        <v>132</v>
      </c>
      <c r="AO85" s="1">
        <f t="shared" si="39"/>
        <v>66</v>
      </c>
      <c r="AP85" s="1"/>
      <c r="AQ85" s="1">
        <v>9</v>
      </c>
      <c r="AR85" s="1">
        <v>16</v>
      </c>
      <c r="AS85" s="1">
        <v>4</v>
      </c>
      <c r="AT85" s="1">
        <v>24</v>
      </c>
      <c r="AU85" s="1">
        <v>4.5</v>
      </c>
      <c r="AV85" s="1">
        <v>20</v>
      </c>
      <c r="AW85" s="1">
        <v>3</v>
      </c>
      <c r="AX85" s="1">
        <v>25</v>
      </c>
      <c r="AY85" s="1">
        <f t="shared" si="25"/>
        <v>14</v>
      </c>
      <c r="AZ85" s="1">
        <f t="shared" si="26"/>
        <v>36</v>
      </c>
      <c r="BA85" s="1">
        <f t="shared" si="24"/>
        <v>7</v>
      </c>
      <c r="BB85" s="1">
        <v>15</v>
      </c>
      <c r="BC85" s="1">
        <f t="shared" si="28"/>
        <v>49</v>
      </c>
      <c r="BD85" s="1">
        <f t="shared" si="40"/>
        <v>121</v>
      </c>
      <c r="BE85" s="1">
        <f t="shared" si="43"/>
        <v>61</v>
      </c>
      <c r="BF85" s="1"/>
      <c r="BG85" s="1"/>
      <c r="BH85" s="1"/>
      <c r="BI85" s="1"/>
      <c r="BJ85" s="1"/>
      <c r="BK85" s="1"/>
      <c r="BL85" s="1"/>
      <c r="BM85" s="1"/>
      <c r="BN85" s="1"/>
      <c r="BO85" s="1" t="s">
        <v>371</v>
      </c>
      <c r="BP85" s="1" t="s">
        <v>371</v>
      </c>
      <c r="BQ85" s="50">
        <f t="shared" si="27"/>
        <v>0</v>
      </c>
      <c r="BR85" s="45">
        <f t="shared" si="41"/>
        <v>376</v>
      </c>
      <c r="BS85" s="70">
        <f t="shared" si="42"/>
        <v>62.666666666666664</v>
      </c>
      <c r="BT85" s="45" t="str">
        <f t="shared" si="29"/>
        <v>GRADE I</v>
      </c>
      <c r="BU85" s="1"/>
    </row>
    <row r="86" spans="1:73" x14ac:dyDescent="0.25">
      <c r="A86" s="1">
        <v>81</v>
      </c>
      <c r="B86" s="12" t="s">
        <v>89</v>
      </c>
      <c r="C86" s="1">
        <v>10</v>
      </c>
      <c r="D86" s="1">
        <v>26</v>
      </c>
      <c r="E86" s="1">
        <v>15</v>
      </c>
      <c r="F86" s="1">
        <v>14</v>
      </c>
      <c r="G86" s="1">
        <v>45</v>
      </c>
      <c r="H86" s="1">
        <f t="shared" si="30"/>
        <v>110</v>
      </c>
      <c r="I86" s="1">
        <f t="shared" si="31"/>
        <v>55</v>
      </c>
      <c r="J86" s="1"/>
      <c r="K86" s="1">
        <v>7</v>
      </c>
      <c r="L86" s="1">
        <v>18</v>
      </c>
      <c r="M86" s="1">
        <v>11</v>
      </c>
      <c r="N86" s="1">
        <v>14</v>
      </c>
      <c r="O86" s="1">
        <v>43</v>
      </c>
      <c r="P86" s="1">
        <f t="shared" si="32"/>
        <v>93</v>
      </c>
      <c r="Q86" s="1">
        <f t="shared" si="33"/>
        <v>47</v>
      </c>
      <c r="R86" s="1"/>
      <c r="S86" s="1">
        <v>13</v>
      </c>
      <c r="T86" s="1">
        <v>35</v>
      </c>
      <c r="U86" s="1">
        <v>16</v>
      </c>
      <c r="V86" s="1">
        <v>18</v>
      </c>
      <c r="W86" s="1">
        <v>47</v>
      </c>
      <c r="X86" s="1">
        <f t="shared" si="34"/>
        <v>129</v>
      </c>
      <c r="Y86" s="1">
        <f t="shared" si="35"/>
        <v>65</v>
      </c>
      <c r="Z86" s="1"/>
      <c r="AA86" s="1">
        <v>17</v>
      </c>
      <c r="AB86" s="1">
        <v>16</v>
      </c>
      <c r="AC86" s="1">
        <v>20</v>
      </c>
      <c r="AD86" s="1">
        <v>17</v>
      </c>
      <c r="AE86" s="1">
        <v>46</v>
      </c>
      <c r="AF86" s="1">
        <f t="shared" si="36"/>
        <v>116</v>
      </c>
      <c r="AG86" s="1">
        <f t="shared" si="37"/>
        <v>58</v>
      </c>
      <c r="AH86" s="1"/>
      <c r="AI86" s="1">
        <v>10</v>
      </c>
      <c r="AJ86" s="1">
        <v>35</v>
      </c>
      <c r="AK86" s="1">
        <v>16</v>
      </c>
      <c r="AL86" s="1">
        <v>18</v>
      </c>
      <c r="AM86" s="1">
        <v>47</v>
      </c>
      <c r="AN86" s="1">
        <f t="shared" si="38"/>
        <v>126</v>
      </c>
      <c r="AO86" s="1">
        <f t="shared" si="39"/>
        <v>63</v>
      </c>
      <c r="AP86" s="1"/>
      <c r="AQ86" s="1">
        <v>13</v>
      </c>
      <c r="AR86" s="1">
        <v>10</v>
      </c>
      <c r="AS86" s="1">
        <v>4.5</v>
      </c>
      <c r="AT86" s="1">
        <v>26</v>
      </c>
      <c r="AU86" s="1">
        <v>4</v>
      </c>
      <c r="AV86" s="1">
        <v>12</v>
      </c>
      <c r="AW86" s="1">
        <v>3.5</v>
      </c>
      <c r="AX86" s="1">
        <v>12</v>
      </c>
      <c r="AY86" s="1">
        <f t="shared" si="25"/>
        <v>17</v>
      </c>
      <c r="AZ86" s="1">
        <f t="shared" si="26"/>
        <v>22</v>
      </c>
      <c r="BA86" s="1">
        <f t="shared" si="24"/>
        <v>8</v>
      </c>
      <c r="BB86" s="1">
        <v>5</v>
      </c>
      <c r="BC86" s="1">
        <f t="shared" si="28"/>
        <v>38</v>
      </c>
      <c r="BD86" s="1">
        <f t="shared" si="40"/>
        <v>90</v>
      </c>
      <c r="BE86" s="1">
        <f t="shared" si="43"/>
        <v>45</v>
      </c>
      <c r="BF86" s="1"/>
      <c r="BG86" s="1"/>
      <c r="BH86" s="1"/>
      <c r="BI86" s="1"/>
      <c r="BJ86" s="1"/>
      <c r="BK86" s="1"/>
      <c r="BL86" s="1"/>
      <c r="BM86" s="1"/>
      <c r="BN86" s="1"/>
      <c r="BO86" s="1" t="s">
        <v>371</v>
      </c>
      <c r="BP86" s="1" t="s">
        <v>371</v>
      </c>
      <c r="BQ86" s="50">
        <f t="shared" si="27"/>
        <v>0</v>
      </c>
      <c r="BR86" s="45">
        <f t="shared" si="41"/>
        <v>333</v>
      </c>
      <c r="BS86" s="70">
        <f t="shared" si="42"/>
        <v>55.5</v>
      </c>
      <c r="BT86" s="45" t="str">
        <f t="shared" si="29"/>
        <v>GRADE II</v>
      </c>
      <c r="BU86" s="1"/>
    </row>
    <row r="87" spans="1:73" x14ac:dyDescent="0.25">
      <c r="A87" s="1">
        <v>82</v>
      </c>
      <c r="B87" s="12" t="s">
        <v>90</v>
      </c>
      <c r="C87" s="1">
        <v>9</v>
      </c>
      <c r="D87" s="1">
        <v>21</v>
      </c>
      <c r="E87" s="1">
        <v>13</v>
      </c>
      <c r="F87" s="1">
        <v>15</v>
      </c>
      <c r="G87" s="1">
        <v>32</v>
      </c>
      <c r="H87" s="1">
        <f t="shared" si="30"/>
        <v>90</v>
      </c>
      <c r="I87" s="1">
        <f t="shared" si="31"/>
        <v>45</v>
      </c>
      <c r="J87" s="1"/>
      <c r="K87" s="1">
        <v>8</v>
      </c>
      <c r="L87" s="1">
        <v>18</v>
      </c>
      <c r="M87" s="1">
        <v>9</v>
      </c>
      <c r="N87" s="1">
        <v>13</v>
      </c>
      <c r="O87" s="1">
        <v>25</v>
      </c>
      <c r="P87" s="1">
        <f t="shared" si="32"/>
        <v>73</v>
      </c>
      <c r="Q87" s="1">
        <f t="shared" si="33"/>
        <v>37</v>
      </c>
      <c r="R87" s="1"/>
      <c r="S87" s="1">
        <v>14</v>
      </c>
      <c r="T87" s="1">
        <v>24</v>
      </c>
      <c r="U87" s="1">
        <v>14</v>
      </c>
      <c r="V87" s="1">
        <v>16</v>
      </c>
      <c r="W87" s="1">
        <v>39</v>
      </c>
      <c r="X87" s="1">
        <f t="shared" si="34"/>
        <v>107</v>
      </c>
      <c r="Y87" s="1">
        <f t="shared" si="35"/>
        <v>54</v>
      </c>
      <c r="Z87" s="1"/>
      <c r="AA87" s="1">
        <v>12</v>
      </c>
      <c r="AB87" s="1">
        <v>13</v>
      </c>
      <c r="AC87" s="1">
        <v>9</v>
      </c>
      <c r="AD87" s="1">
        <v>12</v>
      </c>
      <c r="AE87" s="1">
        <v>29</v>
      </c>
      <c r="AF87" s="1">
        <f t="shared" si="36"/>
        <v>75</v>
      </c>
      <c r="AG87" s="1">
        <f t="shared" si="37"/>
        <v>38</v>
      </c>
      <c r="AH87" s="1"/>
      <c r="AI87" s="1">
        <v>7</v>
      </c>
      <c r="AJ87" s="1">
        <v>15</v>
      </c>
      <c r="AK87" s="1">
        <v>7</v>
      </c>
      <c r="AL87" s="1">
        <v>14</v>
      </c>
      <c r="AM87" s="1">
        <v>24</v>
      </c>
      <c r="AN87" s="1">
        <f t="shared" si="38"/>
        <v>67</v>
      </c>
      <c r="AO87" s="1">
        <f t="shared" si="39"/>
        <v>34</v>
      </c>
      <c r="AP87" s="1">
        <v>1</v>
      </c>
      <c r="AQ87" s="1">
        <v>8</v>
      </c>
      <c r="AR87" s="1">
        <v>4</v>
      </c>
      <c r="AS87" s="1">
        <v>3</v>
      </c>
      <c r="AT87" s="1">
        <v>14</v>
      </c>
      <c r="AU87" s="1">
        <v>3</v>
      </c>
      <c r="AV87" s="1">
        <v>10</v>
      </c>
      <c r="AW87" s="1">
        <v>3</v>
      </c>
      <c r="AX87" s="1">
        <v>5</v>
      </c>
      <c r="AY87" s="1">
        <f t="shared" si="25"/>
        <v>11</v>
      </c>
      <c r="AZ87" s="1">
        <f t="shared" si="26"/>
        <v>14</v>
      </c>
      <c r="BA87" s="1">
        <f t="shared" si="24"/>
        <v>6</v>
      </c>
      <c r="BB87" s="1">
        <v>11</v>
      </c>
      <c r="BC87" s="1">
        <f t="shared" si="28"/>
        <v>19</v>
      </c>
      <c r="BD87" s="1">
        <f t="shared" si="40"/>
        <v>61</v>
      </c>
      <c r="BE87" s="1">
        <f t="shared" si="43"/>
        <v>31</v>
      </c>
      <c r="BF87" s="1">
        <v>4</v>
      </c>
      <c r="BG87" s="1"/>
      <c r="BH87" s="1"/>
      <c r="BI87" s="1"/>
      <c r="BJ87" s="1"/>
      <c r="BK87" s="1"/>
      <c r="BL87" s="1"/>
      <c r="BM87" s="1"/>
      <c r="BN87" s="1"/>
      <c r="BO87" s="1" t="s">
        <v>371</v>
      </c>
      <c r="BP87" s="1" t="s">
        <v>372</v>
      </c>
      <c r="BQ87" s="50">
        <f t="shared" si="27"/>
        <v>5</v>
      </c>
      <c r="BR87" s="45">
        <f t="shared" si="41"/>
        <v>239</v>
      </c>
      <c r="BS87" s="70">
        <f t="shared" si="42"/>
        <v>39.833333333333336</v>
      </c>
      <c r="BT87" s="45" t="s">
        <v>375</v>
      </c>
      <c r="BU87" s="1"/>
    </row>
    <row r="88" spans="1:73" x14ac:dyDescent="0.25">
      <c r="A88" s="97">
        <v>83</v>
      </c>
      <c r="B88" s="12" t="s">
        <v>91</v>
      </c>
      <c r="C88" s="1">
        <v>7</v>
      </c>
      <c r="D88" s="1">
        <v>22</v>
      </c>
      <c r="E88" s="1">
        <v>13</v>
      </c>
      <c r="F88" s="1">
        <v>12</v>
      </c>
      <c r="G88" s="1">
        <v>42</v>
      </c>
      <c r="H88" s="1">
        <f t="shared" si="30"/>
        <v>96</v>
      </c>
      <c r="I88" s="1">
        <f t="shared" si="31"/>
        <v>48</v>
      </c>
      <c r="J88" s="1"/>
      <c r="K88" s="1">
        <v>6</v>
      </c>
      <c r="L88" s="1">
        <v>7</v>
      </c>
      <c r="M88" s="1">
        <v>8</v>
      </c>
      <c r="N88" s="1">
        <v>12</v>
      </c>
      <c r="O88" s="1">
        <v>17</v>
      </c>
      <c r="P88" s="1">
        <f t="shared" si="32"/>
        <v>50</v>
      </c>
      <c r="Q88" s="1">
        <f t="shared" si="33"/>
        <v>25</v>
      </c>
      <c r="R88" s="1">
        <v>10</v>
      </c>
      <c r="S88" s="1">
        <v>14</v>
      </c>
      <c r="T88" s="1">
        <v>22</v>
      </c>
      <c r="U88" s="1">
        <v>15</v>
      </c>
      <c r="V88" s="1">
        <v>18</v>
      </c>
      <c r="W88" s="1">
        <v>48</v>
      </c>
      <c r="X88" s="1">
        <f t="shared" si="34"/>
        <v>117</v>
      </c>
      <c r="Y88" s="1">
        <f t="shared" si="35"/>
        <v>59</v>
      </c>
      <c r="Z88" s="1"/>
      <c r="AA88" s="1">
        <v>11</v>
      </c>
      <c r="AB88" s="1">
        <v>16</v>
      </c>
      <c r="AC88" s="1">
        <v>6</v>
      </c>
      <c r="AD88" s="1">
        <v>14</v>
      </c>
      <c r="AE88" s="1">
        <v>21</v>
      </c>
      <c r="AF88" s="1">
        <f t="shared" si="36"/>
        <v>68</v>
      </c>
      <c r="AG88" s="1">
        <f t="shared" si="37"/>
        <v>34</v>
      </c>
      <c r="AH88" s="1">
        <v>1</v>
      </c>
      <c r="AI88" s="1">
        <v>3</v>
      </c>
      <c r="AJ88" s="1">
        <v>31</v>
      </c>
      <c r="AK88" s="1">
        <v>10</v>
      </c>
      <c r="AL88" s="1">
        <v>15</v>
      </c>
      <c r="AM88" s="1">
        <v>40</v>
      </c>
      <c r="AN88" s="1">
        <f t="shared" si="38"/>
        <v>99</v>
      </c>
      <c r="AO88" s="1">
        <f t="shared" si="39"/>
        <v>50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>
        <f t="shared" si="26"/>
        <v>0</v>
      </c>
      <c r="BA88" s="1">
        <f t="shared" si="24"/>
        <v>0</v>
      </c>
      <c r="BB88" s="1"/>
      <c r="BC88" s="1"/>
      <c r="BD88" s="1">
        <f t="shared" si="40"/>
        <v>0</v>
      </c>
      <c r="BE88" s="1">
        <f t="shared" si="43"/>
        <v>0</v>
      </c>
      <c r="BF88" s="1"/>
      <c r="BG88" s="1">
        <v>2</v>
      </c>
      <c r="BH88" s="1">
        <v>20</v>
      </c>
      <c r="BI88" s="1">
        <v>3</v>
      </c>
      <c r="BJ88" s="1">
        <v>12</v>
      </c>
      <c r="BK88" s="1">
        <v>41</v>
      </c>
      <c r="BL88" s="1">
        <f>SUM(BG88:BK88)</f>
        <v>78</v>
      </c>
      <c r="BM88" s="1">
        <f>78/2</f>
        <v>39</v>
      </c>
      <c r="BN88" s="1"/>
      <c r="BO88" s="1" t="s">
        <v>371</v>
      </c>
      <c r="BP88" s="1" t="s">
        <v>371</v>
      </c>
      <c r="BQ88" s="50">
        <f t="shared" si="27"/>
        <v>11</v>
      </c>
      <c r="BR88" s="45">
        <f t="shared" si="41"/>
        <v>216</v>
      </c>
      <c r="BS88" s="70">
        <f t="shared" si="42"/>
        <v>36</v>
      </c>
      <c r="BT88" s="45" t="s">
        <v>375</v>
      </c>
      <c r="BU88" s="1"/>
    </row>
    <row r="89" spans="1:73" x14ac:dyDescent="0.25">
      <c r="A89" s="1">
        <v>84</v>
      </c>
      <c r="B89" s="12" t="s">
        <v>92</v>
      </c>
      <c r="C89" s="1">
        <v>4</v>
      </c>
      <c r="D89" s="1">
        <v>19</v>
      </c>
      <c r="E89" s="1">
        <v>12</v>
      </c>
      <c r="F89" s="1">
        <v>14</v>
      </c>
      <c r="G89" s="1">
        <v>28</v>
      </c>
      <c r="H89" s="1">
        <f t="shared" si="30"/>
        <v>77</v>
      </c>
      <c r="I89" s="1">
        <f t="shared" si="31"/>
        <v>39</v>
      </c>
      <c r="J89" s="1"/>
      <c r="K89" s="1">
        <v>12</v>
      </c>
      <c r="L89" s="1">
        <v>20</v>
      </c>
      <c r="M89" s="1">
        <v>9</v>
      </c>
      <c r="N89" s="1">
        <v>13</v>
      </c>
      <c r="O89" s="1">
        <v>29</v>
      </c>
      <c r="P89" s="1">
        <f t="shared" si="32"/>
        <v>83</v>
      </c>
      <c r="Q89" s="1">
        <f t="shared" si="33"/>
        <v>42</v>
      </c>
      <c r="R89" s="1"/>
      <c r="S89" s="1">
        <v>10</v>
      </c>
      <c r="T89" s="1">
        <v>23</v>
      </c>
      <c r="U89" s="1">
        <v>15</v>
      </c>
      <c r="V89" s="1">
        <v>18</v>
      </c>
      <c r="W89" s="1">
        <v>46</v>
      </c>
      <c r="X89" s="1">
        <f t="shared" si="34"/>
        <v>112</v>
      </c>
      <c r="Y89" s="1">
        <f t="shared" si="35"/>
        <v>56</v>
      </c>
      <c r="Z89" s="1"/>
      <c r="AA89" s="1">
        <v>13</v>
      </c>
      <c r="AB89" s="1">
        <v>12</v>
      </c>
      <c r="AC89" s="1">
        <v>8</v>
      </c>
      <c r="AD89" s="1">
        <v>11</v>
      </c>
      <c r="AE89" s="1">
        <v>24</v>
      </c>
      <c r="AF89" s="1">
        <f t="shared" si="36"/>
        <v>68</v>
      </c>
      <c r="AG89" s="1">
        <f t="shared" si="37"/>
        <v>34</v>
      </c>
      <c r="AH89" s="1">
        <v>1</v>
      </c>
      <c r="AI89" s="1">
        <v>7</v>
      </c>
      <c r="AJ89" s="1">
        <v>33</v>
      </c>
      <c r="AK89" s="1">
        <v>10</v>
      </c>
      <c r="AL89" s="1">
        <v>11</v>
      </c>
      <c r="AM89" s="1">
        <v>28</v>
      </c>
      <c r="AN89" s="1">
        <f t="shared" si="38"/>
        <v>89</v>
      </c>
      <c r="AO89" s="1">
        <f t="shared" si="39"/>
        <v>45</v>
      </c>
      <c r="AP89" s="1"/>
      <c r="AQ89" s="1">
        <v>0</v>
      </c>
      <c r="AR89" s="1">
        <v>3</v>
      </c>
      <c r="AS89" s="1">
        <v>2</v>
      </c>
      <c r="AT89" s="1">
        <v>7</v>
      </c>
      <c r="AU89" s="1">
        <v>6</v>
      </c>
      <c r="AV89" s="1">
        <v>10.5</v>
      </c>
      <c r="AW89" s="1">
        <v>3.5</v>
      </c>
      <c r="AX89" s="1">
        <v>12</v>
      </c>
      <c r="AY89" s="1">
        <f t="shared" si="25"/>
        <v>6</v>
      </c>
      <c r="AZ89" s="1">
        <f t="shared" si="26"/>
        <v>14</v>
      </c>
      <c r="BA89" s="1">
        <f t="shared" si="24"/>
        <v>6</v>
      </c>
      <c r="BB89" s="1">
        <v>10</v>
      </c>
      <c r="BC89" s="1">
        <f t="shared" si="28"/>
        <v>19</v>
      </c>
      <c r="BD89" s="1">
        <f t="shared" si="40"/>
        <v>55</v>
      </c>
      <c r="BE89" s="1">
        <f t="shared" si="43"/>
        <v>28</v>
      </c>
      <c r="BF89" s="1">
        <v>7</v>
      </c>
      <c r="BG89" s="1"/>
      <c r="BH89" s="1"/>
      <c r="BI89" s="1"/>
      <c r="BJ89" s="1"/>
      <c r="BK89" s="1"/>
      <c r="BL89" s="1"/>
      <c r="BM89" s="1"/>
      <c r="BN89" s="1"/>
      <c r="BO89" s="1" t="s">
        <v>371</v>
      </c>
      <c r="BP89" s="1" t="s">
        <v>371</v>
      </c>
      <c r="BQ89" s="50">
        <f t="shared" si="27"/>
        <v>8</v>
      </c>
      <c r="BR89" s="45">
        <f t="shared" si="41"/>
        <v>244</v>
      </c>
      <c r="BS89" s="70">
        <f t="shared" si="42"/>
        <v>40.666666666666664</v>
      </c>
      <c r="BT89" s="45" t="s">
        <v>375</v>
      </c>
      <c r="BU89" s="1"/>
    </row>
    <row r="90" spans="1:73" x14ac:dyDescent="0.25">
      <c r="A90" s="1">
        <v>85</v>
      </c>
      <c r="B90" s="12" t="s">
        <v>93</v>
      </c>
      <c r="C90" s="1">
        <v>7</v>
      </c>
      <c r="D90" s="1">
        <v>25</v>
      </c>
      <c r="E90" s="1">
        <v>11</v>
      </c>
      <c r="F90" s="1">
        <v>13</v>
      </c>
      <c r="G90" s="1">
        <v>42</v>
      </c>
      <c r="H90" s="1">
        <f t="shared" si="30"/>
        <v>98</v>
      </c>
      <c r="I90" s="1">
        <f t="shared" si="31"/>
        <v>49</v>
      </c>
      <c r="J90" s="1"/>
      <c r="K90" s="1">
        <v>14</v>
      </c>
      <c r="L90" s="1">
        <v>31</v>
      </c>
      <c r="M90" s="1">
        <v>12</v>
      </c>
      <c r="N90" s="1">
        <v>16</v>
      </c>
      <c r="O90" s="1">
        <v>50</v>
      </c>
      <c r="P90" s="1">
        <f t="shared" si="32"/>
        <v>123</v>
      </c>
      <c r="Q90" s="1">
        <f t="shared" si="33"/>
        <v>62</v>
      </c>
      <c r="R90" s="1"/>
      <c r="S90" s="1">
        <v>25</v>
      </c>
      <c r="T90" s="1">
        <v>36</v>
      </c>
      <c r="U90" s="1">
        <v>21</v>
      </c>
      <c r="V90" s="1">
        <v>18</v>
      </c>
      <c r="W90" s="1">
        <v>68</v>
      </c>
      <c r="X90" s="1">
        <f t="shared" si="34"/>
        <v>168</v>
      </c>
      <c r="Y90" s="1">
        <f t="shared" si="35"/>
        <v>84</v>
      </c>
      <c r="Z90" s="1"/>
      <c r="AA90" s="1">
        <v>21</v>
      </c>
      <c r="AB90" s="1">
        <v>26</v>
      </c>
      <c r="AC90" s="1">
        <v>7</v>
      </c>
      <c r="AD90" s="1">
        <v>18</v>
      </c>
      <c r="AE90" s="1">
        <v>13</v>
      </c>
      <c r="AF90" s="1">
        <f t="shared" si="36"/>
        <v>85</v>
      </c>
      <c r="AG90" s="1">
        <f t="shared" si="37"/>
        <v>43</v>
      </c>
      <c r="AH90" s="1"/>
      <c r="AI90" s="1">
        <v>15</v>
      </c>
      <c r="AJ90" s="1">
        <v>37</v>
      </c>
      <c r="AK90" s="1">
        <v>17</v>
      </c>
      <c r="AL90" s="1">
        <v>19</v>
      </c>
      <c r="AM90" s="1">
        <v>60</v>
      </c>
      <c r="AN90" s="1">
        <f t="shared" si="38"/>
        <v>148</v>
      </c>
      <c r="AO90" s="1">
        <f t="shared" si="39"/>
        <v>74</v>
      </c>
      <c r="AP90" s="1"/>
      <c r="AQ90" s="1">
        <v>9</v>
      </c>
      <c r="AR90" s="1">
        <v>8.5</v>
      </c>
      <c r="AS90" s="1">
        <v>8</v>
      </c>
      <c r="AT90" s="1">
        <v>22</v>
      </c>
      <c r="AU90" s="1">
        <v>3</v>
      </c>
      <c r="AV90" s="1">
        <v>11</v>
      </c>
      <c r="AW90" s="1">
        <v>8</v>
      </c>
      <c r="AX90" s="1">
        <v>19</v>
      </c>
      <c r="AY90" s="1">
        <f t="shared" si="25"/>
        <v>12</v>
      </c>
      <c r="AZ90" s="1">
        <f t="shared" si="26"/>
        <v>20</v>
      </c>
      <c r="BA90" s="1">
        <f t="shared" ref="BA90:BA125" si="44">ROUND(SUM(AS90,AW90),0)</f>
        <v>16</v>
      </c>
      <c r="BB90" s="1">
        <v>15</v>
      </c>
      <c r="BC90" s="1">
        <f t="shared" si="28"/>
        <v>41</v>
      </c>
      <c r="BD90" s="1">
        <f t="shared" si="40"/>
        <v>104</v>
      </c>
      <c r="BE90" s="1">
        <f t="shared" si="43"/>
        <v>52</v>
      </c>
      <c r="BF90" s="1"/>
      <c r="BG90" s="1"/>
      <c r="BH90" s="1"/>
      <c r="BI90" s="1"/>
      <c r="BJ90" s="1"/>
      <c r="BK90" s="1"/>
      <c r="BL90" s="1"/>
      <c r="BM90" s="1"/>
      <c r="BN90" s="1"/>
      <c r="BO90" s="1" t="s">
        <v>371</v>
      </c>
      <c r="BP90" s="1" t="s">
        <v>371</v>
      </c>
      <c r="BQ90" s="50">
        <f t="shared" si="27"/>
        <v>0</v>
      </c>
      <c r="BR90" s="45">
        <f t="shared" si="41"/>
        <v>364</v>
      </c>
      <c r="BS90" s="70">
        <f t="shared" si="42"/>
        <v>60.666666666666664</v>
      </c>
      <c r="BT90" s="45" t="str">
        <f t="shared" si="29"/>
        <v>GRADE I</v>
      </c>
      <c r="BU90" s="1"/>
    </row>
    <row r="91" spans="1:73" x14ac:dyDescent="0.25">
      <c r="A91" s="1">
        <v>86</v>
      </c>
      <c r="B91" s="12" t="s">
        <v>94</v>
      </c>
      <c r="C91" s="1">
        <v>5</v>
      </c>
      <c r="D91" s="1">
        <v>23</v>
      </c>
      <c r="E91" s="1">
        <v>11</v>
      </c>
      <c r="F91" s="1">
        <v>16</v>
      </c>
      <c r="G91" s="1">
        <v>41</v>
      </c>
      <c r="H91" s="1">
        <f t="shared" si="30"/>
        <v>96</v>
      </c>
      <c r="I91" s="1">
        <f t="shared" si="31"/>
        <v>48</v>
      </c>
      <c r="J91" s="1"/>
      <c r="K91" s="1">
        <v>16</v>
      </c>
      <c r="L91" s="1">
        <v>25</v>
      </c>
      <c r="M91" s="1">
        <v>13</v>
      </c>
      <c r="N91" s="1">
        <v>14</v>
      </c>
      <c r="O91" s="1">
        <v>41</v>
      </c>
      <c r="P91" s="1">
        <f t="shared" si="32"/>
        <v>109</v>
      </c>
      <c r="Q91" s="1">
        <f t="shared" si="33"/>
        <v>55</v>
      </c>
      <c r="R91" s="1"/>
      <c r="S91" s="1">
        <v>12</v>
      </c>
      <c r="T91" s="1">
        <v>35</v>
      </c>
      <c r="U91" s="1">
        <v>15</v>
      </c>
      <c r="V91" s="1">
        <v>15</v>
      </c>
      <c r="W91" s="1">
        <v>35</v>
      </c>
      <c r="X91" s="1">
        <f t="shared" si="34"/>
        <v>112</v>
      </c>
      <c r="Y91" s="1">
        <f t="shared" si="35"/>
        <v>56</v>
      </c>
      <c r="Z91" s="1"/>
      <c r="AA91" s="1">
        <v>15</v>
      </c>
      <c r="AB91" s="1">
        <v>15</v>
      </c>
      <c r="AC91" s="1">
        <v>8</v>
      </c>
      <c r="AD91" s="1">
        <v>17</v>
      </c>
      <c r="AE91" s="1">
        <v>22</v>
      </c>
      <c r="AF91" s="1">
        <f t="shared" si="36"/>
        <v>77</v>
      </c>
      <c r="AG91" s="1">
        <f t="shared" si="37"/>
        <v>39</v>
      </c>
      <c r="AH91" s="1"/>
      <c r="AI91" s="1">
        <v>15</v>
      </c>
      <c r="AJ91" s="1">
        <v>27</v>
      </c>
      <c r="AK91" s="1">
        <v>5</v>
      </c>
      <c r="AL91" s="1">
        <v>14</v>
      </c>
      <c r="AM91" s="1">
        <v>39</v>
      </c>
      <c r="AN91" s="1">
        <f t="shared" si="38"/>
        <v>100</v>
      </c>
      <c r="AO91" s="1">
        <f t="shared" si="39"/>
        <v>50</v>
      </c>
      <c r="AP91" s="1"/>
      <c r="AQ91" s="1">
        <v>7</v>
      </c>
      <c r="AR91" s="1">
        <v>11.5</v>
      </c>
      <c r="AS91" s="1">
        <v>5</v>
      </c>
      <c r="AT91" s="1">
        <v>9</v>
      </c>
      <c r="AU91" s="1">
        <v>3.5</v>
      </c>
      <c r="AV91" s="1">
        <v>9</v>
      </c>
      <c r="AW91" s="1">
        <v>1.5</v>
      </c>
      <c r="AX91" s="1">
        <v>15</v>
      </c>
      <c r="AY91" s="1">
        <f t="shared" ref="AY91:AY120" si="45">ROUND(SUM(AQ91,AU91),0)</f>
        <v>11</v>
      </c>
      <c r="AZ91" s="1">
        <f t="shared" ref="AZ91:AZ120" si="46">ROUND(SUM(AR91,AV91),0)</f>
        <v>21</v>
      </c>
      <c r="BA91" s="1">
        <f t="shared" si="44"/>
        <v>7</v>
      </c>
      <c r="BB91" s="1">
        <v>5</v>
      </c>
      <c r="BC91" s="1">
        <f t="shared" si="28"/>
        <v>24</v>
      </c>
      <c r="BD91" s="1">
        <f t="shared" si="40"/>
        <v>68</v>
      </c>
      <c r="BE91" s="1">
        <f t="shared" si="43"/>
        <v>34</v>
      </c>
      <c r="BF91" s="1">
        <v>1</v>
      </c>
      <c r="BG91" s="1"/>
      <c r="BH91" s="1"/>
      <c r="BI91" s="1"/>
      <c r="BJ91" s="1"/>
      <c r="BK91" s="1"/>
      <c r="BL91" s="1"/>
      <c r="BM91" s="1"/>
      <c r="BN91" s="1"/>
      <c r="BO91" s="1" t="s">
        <v>371</v>
      </c>
      <c r="BP91" s="1" t="s">
        <v>371</v>
      </c>
      <c r="BQ91" s="50">
        <f t="shared" si="27"/>
        <v>1</v>
      </c>
      <c r="BR91" s="45">
        <f t="shared" si="41"/>
        <v>282</v>
      </c>
      <c r="BS91" s="70">
        <f t="shared" si="42"/>
        <v>47</v>
      </c>
      <c r="BT91" s="45" t="s">
        <v>375</v>
      </c>
      <c r="BU91" s="1"/>
    </row>
    <row r="92" spans="1:73" x14ac:dyDescent="0.25">
      <c r="A92" s="1">
        <v>87</v>
      </c>
      <c r="B92" s="12" t="s">
        <v>95</v>
      </c>
      <c r="C92" s="1">
        <v>9</v>
      </c>
      <c r="D92" s="1">
        <v>22</v>
      </c>
      <c r="E92" s="1">
        <v>15</v>
      </c>
      <c r="F92" s="1">
        <v>12</v>
      </c>
      <c r="G92" s="1">
        <v>39</v>
      </c>
      <c r="H92" s="1">
        <f t="shared" si="30"/>
        <v>97</v>
      </c>
      <c r="I92" s="1">
        <f t="shared" si="31"/>
        <v>49</v>
      </c>
      <c r="J92" s="1"/>
      <c r="K92" s="1">
        <v>9</v>
      </c>
      <c r="L92" s="1">
        <v>18</v>
      </c>
      <c r="M92" s="1">
        <v>11</v>
      </c>
      <c r="N92" s="1">
        <v>17</v>
      </c>
      <c r="O92" s="1">
        <v>32</v>
      </c>
      <c r="P92" s="1">
        <f t="shared" si="32"/>
        <v>87</v>
      </c>
      <c r="Q92" s="1">
        <f t="shared" si="33"/>
        <v>44</v>
      </c>
      <c r="R92" s="1"/>
      <c r="S92" s="1">
        <v>13</v>
      </c>
      <c r="T92" s="1">
        <v>30</v>
      </c>
      <c r="U92" s="1">
        <v>11</v>
      </c>
      <c r="V92" s="1">
        <v>17</v>
      </c>
      <c r="W92" s="1">
        <v>33</v>
      </c>
      <c r="X92" s="1">
        <f t="shared" si="34"/>
        <v>104</v>
      </c>
      <c r="Y92" s="1">
        <f t="shared" si="35"/>
        <v>52</v>
      </c>
      <c r="Z92" s="1"/>
      <c r="AA92" s="1">
        <v>15</v>
      </c>
      <c r="AB92" s="1">
        <v>11</v>
      </c>
      <c r="AC92" s="1">
        <v>14</v>
      </c>
      <c r="AD92" s="1">
        <v>12</v>
      </c>
      <c r="AE92" s="1">
        <v>24</v>
      </c>
      <c r="AF92" s="1">
        <f t="shared" si="36"/>
        <v>76</v>
      </c>
      <c r="AG92" s="1">
        <f t="shared" si="37"/>
        <v>38</v>
      </c>
      <c r="AH92" s="1"/>
      <c r="AI92" s="1">
        <v>9</v>
      </c>
      <c r="AJ92" s="1">
        <v>17</v>
      </c>
      <c r="AK92" s="1">
        <v>7</v>
      </c>
      <c r="AL92" s="1">
        <v>16</v>
      </c>
      <c r="AM92" s="1">
        <v>37</v>
      </c>
      <c r="AN92" s="1">
        <f t="shared" si="38"/>
        <v>86</v>
      </c>
      <c r="AO92" s="1">
        <f t="shared" si="39"/>
        <v>43</v>
      </c>
      <c r="AP92" s="1"/>
      <c r="AQ92" s="1">
        <v>7</v>
      </c>
      <c r="AR92" s="1">
        <v>3</v>
      </c>
      <c r="AS92" s="1">
        <v>1</v>
      </c>
      <c r="AT92" s="1">
        <v>11</v>
      </c>
      <c r="AU92" s="1">
        <v>3.5</v>
      </c>
      <c r="AV92" s="1">
        <v>3</v>
      </c>
      <c r="AW92" s="1">
        <v>0.5</v>
      </c>
      <c r="AX92" s="1">
        <v>10</v>
      </c>
      <c r="AY92" s="1">
        <f t="shared" si="45"/>
        <v>11</v>
      </c>
      <c r="AZ92" s="1">
        <f t="shared" si="46"/>
        <v>6</v>
      </c>
      <c r="BA92" s="1">
        <f t="shared" si="44"/>
        <v>2</v>
      </c>
      <c r="BB92" s="1">
        <v>10</v>
      </c>
      <c r="BC92" s="1">
        <f t="shared" si="28"/>
        <v>21</v>
      </c>
      <c r="BD92" s="1">
        <f t="shared" si="40"/>
        <v>50</v>
      </c>
      <c r="BE92" s="1">
        <f t="shared" si="43"/>
        <v>25</v>
      </c>
      <c r="BF92" s="1">
        <v>10</v>
      </c>
      <c r="BG92" s="1"/>
      <c r="BH92" s="1"/>
      <c r="BI92" s="1"/>
      <c r="BJ92" s="1"/>
      <c r="BK92" s="1"/>
      <c r="BL92" s="1"/>
      <c r="BM92" s="1"/>
      <c r="BN92" s="1"/>
      <c r="BO92" s="1" t="s">
        <v>371</v>
      </c>
      <c r="BP92" s="1" t="s">
        <v>371</v>
      </c>
      <c r="BQ92" s="50">
        <f t="shared" si="27"/>
        <v>10</v>
      </c>
      <c r="BR92" s="45">
        <f t="shared" si="41"/>
        <v>251</v>
      </c>
      <c r="BS92" s="70">
        <f t="shared" si="42"/>
        <v>41.833333333333336</v>
      </c>
      <c r="BT92" s="45" t="s">
        <v>375</v>
      </c>
      <c r="BU92" s="1"/>
    </row>
    <row r="93" spans="1:73" x14ac:dyDescent="0.25">
      <c r="A93" s="1">
        <v>88</v>
      </c>
      <c r="B93" s="12" t="s">
        <v>96</v>
      </c>
      <c r="C93" s="1">
        <v>11</v>
      </c>
      <c r="D93" s="1">
        <v>24</v>
      </c>
      <c r="E93" s="1">
        <v>14</v>
      </c>
      <c r="F93" s="1">
        <v>14</v>
      </c>
      <c r="G93" s="1">
        <v>47</v>
      </c>
      <c r="H93" s="1">
        <f t="shared" si="30"/>
        <v>110</v>
      </c>
      <c r="I93" s="1">
        <f t="shared" si="31"/>
        <v>55</v>
      </c>
      <c r="J93" s="1"/>
      <c r="K93" s="1">
        <v>15</v>
      </c>
      <c r="L93" s="1">
        <v>25</v>
      </c>
      <c r="M93" s="1">
        <v>13</v>
      </c>
      <c r="N93" s="1">
        <v>14</v>
      </c>
      <c r="O93" s="1">
        <v>40</v>
      </c>
      <c r="P93" s="1">
        <f t="shared" si="32"/>
        <v>107</v>
      </c>
      <c r="Q93" s="1">
        <f t="shared" si="33"/>
        <v>54</v>
      </c>
      <c r="R93" s="1"/>
      <c r="S93" s="1">
        <v>15</v>
      </c>
      <c r="T93" s="1">
        <v>34</v>
      </c>
      <c r="U93" s="1">
        <v>12</v>
      </c>
      <c r="V93" s="1">
        <v>15</v>
      </c>
      <c r="W93" s="1">
        <v>57</v>
      </c>
      <c r="X93" s="1">
        <f t="shared" si="34"/>
        <v>133</v>
      </c>
      <c r="Y93" s="1">
        <f t="shared" si="35"/>
        <v>67</v>
      </c>
      <c r="Z93" s="1"/>
      <c r="AA93" s="1">
        <v>15</v>
      </c>
      <c r="AB93" s="1">
        <v>24</v>
      </c>
      <c r="AC93" s="1">
        <v>12</v>
      </c>
      <c r="AD93" s="1">
        <v>14</v>
      </c>
      <c r="AE93" s="1">
        <v>26</v>
      </c>
      <c r="AF93" s="1">
        <f t="shared" si="36"/>
        <v>91</v>
      </c>
      <c r="AG93" s="1">
        <f t="shared" si="37"/>
        <v>46</v>
      </c>
      <c r="AH93" s="1"/>
      <c r="AI93" s="1">
        <v>16</v>
      </c>
      <c r="AJ93" s="1">
        <v>32</v>
      </c>
      <c r="AK93" s="1">
        <v>11</v>
      </c>
      <c r="AL93" s="1">
        <v>15</v>
      </c>
      <c r="AM93" s="1">
        <v>48</v>
      </c>
      <c r="AN93" s="1">
        <f t="shared" si="38"/>
        <v>122</v>
      </c>
      <c r="AO93" s="1">
        <f t="shared" si="39"/>
        <v>61</v>
      </c>
      <c r="AP93" s="1"/>
      <c r="AQ93" s="1">
        <v>7</v>
      </c>
      <c r="AR93" s="1">
        <v>5.5</v>
      </c>
      <c r="AS93" s="1">
        <v>2</v>
      </c>
      <c r="AT93" s="1">
        <v>12</v>
      </c>
      <c r="AU93" s="1">
        <v>3.5</v>
      </c>
      <c r="AV93" s="1">
        <v>7.5</v>
      </c>
      <c r="AW93" s="1">
        <v>4.5</v>
      </c>
      <c r="AX93" s="1">
        <v>9</v>
      </c>
      <c r="AY93" s="1">
        <f t="shared" si="45"/>
        <v>11</v>
      </c>
      <c r="AZ93" s="1">
        <f t="shared" si="46"/>
        <v>13</v>
      </c>
      <c r="BA93" s="1">
        <f t="shared" si="44"/>
        <v>7</v>
      </c>
      <c r="BB93" s="1">
        <v>12</v>
      </c>
      <c r="BC93" s="1">
        <f t="shared" si="28"/>
        <v>21</v>
      </c>
      <c r="BD93" s="1">
        <f t="shared" si="40"/>
        <v>64</v>
      </c>
      <c r="BE93" s="1">
        <f t="shared" si="43"/>
        <v>32</v>
      </c>
      <c r="BF93" s="1">
        <v>3</v>
      </c>
      <c r="BG93" s="1"/>
      <c r="BH93" s="1"/>
      <c r="BI93" s="1"/>
      <c r="BJ93" s="1"/>
      <c r="BK93" s="1"/>
      <c r="BL93" s="1"/>
      <c r="BM93" s="1"/>
      <c r="BN93" s="1"/>
      <c r="BO93" s="1" t="s">
        <v>371</v>
      </c>
      <c r="BP93" s="1" t="s">
        <v>371</v>
      </c>
      <c r="BQ93" s="50">
        <f t="shared" si="27"/>
        <v>3</v>
      </c>
      <c r="BR93" s="45">
        <f t="shared" si="41"/>
        <v>315</v>
      </c>
      <c r="BS93" s="70">
        <f t="shared" si="42"/>
        <v>52.5</v>
      </c>
      <c r="BT93" s="45" t="s">
        <v>375</v>
      </c>
      <c r="BU93" s="1"/>
    </row>
    <row r="94" spans="1:73" x14ac:dyDescent="0.25">
      <c r="A94" s="1">
        <v>89</v>
      </c>
      <c r="B94" s="12" t="s">
        <v>97</v>
      </c>
      <c r="C94" s="1">
        <v>11</v>
      </c>
      <c r="D94" s="1">
        <v>21</v>
      </c>
      <c r="E94" s="1">
        <v>17</v>
      </c>
      <c r="F94" s="1">
        <v>15</v>
      </c>
      <c r="G94" s="1">
        <v>40</v>
      </c>
      <c r="H94" s="1">
        <f t="shared" si="30"/>
        <v>104</v>
      </c>
      <c r="I94" s="1">
        <f t="shared" si="31"/>
        <v>52</v>
      </c>
      <c r="J94" s="1"/>
      <c r="K94" s="1">
        <v>16</v>
      </c>
      <c r="L94" s="1">
        <v>28</v>
      </c>
      <c r="M94" s="1">
        <v>13</v>
      </c>
      <c r="N94" s="1">
        <v>13</v>
      </c>
      <c r="O94" s="1">
        <v>39</v>
      </c>
      <c r="P94" s="1">
        <f t="shared" si="32"/>
        <v>109</v>
      </c>
      <c r="Q94" s="1">
        <f t="shared" si="33"/>
        <v>55</v>
      </c>
      <c r="R94" s="1"/>
      <c r="S94" s="1">
        <v>21</v>
      </c>
      <c r="T94" s="1">
        <v>33</v>
      </c>
      <c r="U94" s="1">
        <v>9</v>
      </c>
      <c r="V94" s="1">
        <v>17</v>
      </c>
      <c r="W94" s="1">
        <v>49</v>
      </c>
      <c r="X94" s="1">
        <f t="shared" si="34"/>
        <v>129</v>
      </c>
      <c r="Y94" s="1">
        <f t="shared" si="35"/>
        <v>65</v>
      </c>
      <c r="Z94" s="1"/>
      <c r="AA94" s="1">
        <v>14</v>
      </c>
      <c r="AB94" s="1">
        <v>15</v>
      </c>
      <c r="AC94" s="1">
        <v>11</v>
      </c>
      <c r="AD94" s="1">
        <v>17</v>
      </c>
      <c r="AE94" s="1">
        <v>30</v>
      </c>
      <c r="AF94" s="1">
        <f t="shared" si="36"/>
        <v>87</v>
      </c>
      <c r="AG94" s="1">
        <f t="shared" si="37"/>
        <v>44</v>
      </c>
      <c r="AH94" s="1"/>
      <c r="AI94" s="1">
        <v>7</v>
      </c>
      <c r="AJ94" s="1">
        <v>32</v>
      </c>
      <c r="AK94" s="1">
        <v>14</v>
      </c>
      <c r="AL94" s="1">
        <v>16</v>
      </c>
      <c r="AM94" s="1">
        <v>39</v>
      </c>
      <c r="AN94" s="1">
        <f t="shared" si="38"/>
        <v>108</v>
      </c>
      <c r="AO94" s="1">
        <f t="shared" si="39"/>
        <v>54</v>
      </c>
      <c r="AP94" s="1"/>
      <c r="AQ94" s="1">
        <v>8</v>
      </c>
      <c r="AR94" s="1">
        <v>5</v>
      </c>
      <c r="AS94" s="1">
        <v>3.5</v>
      </c>
      <c r="AT94" s="1">
        <v>13</v>
      </c>
      <c r="AU94" s="1">
        <v>3.5</v>
      </c>
      <c r="AV94" s="1">
        <v>15.5</v>
      </c>
      <c r="AW94" s="1">
        <v>5.5</v>
      </c>
      <c r="AX94" s="1">
        <v>11</v>
      </c>
      <c r="AY94" s="1">
        <f t="shared" si="45"/>
        <v>12</v>
      </c>
      <c r="AZ94" s="1">
        <f t="shared" si="46"/>
        <v>21</v>
      </c>
      <c r="BA94" s="1">
        <f t="shared" si="44"/>
        <v>9</v>
      </c>
      <c r="BB94" s="1">
        <v>10</v>
      </c>
      <c r="BC94" s="1">
        <f t="shared" si="28"/>
        <v>24</v>
      </c>
      <c r="BD94" s="1">
        <f t="shared" si="40"/>
        <v>76</v>
      </c>
      <c r="BE94" s="1">
        <f t="shared" si="43"/>
        <v>38</v>
      </c>
      <c r="BF94" s="1"/>
      <c r="BG94" s="1"/>
      <c r="BH94" s="1"/>
      <c r="BI94" s="1"/>
      <c r="BJ94" s="1"/>
      <c r="BK94" s="1"/>
      <c r="BL94" s="1"/>
      <c r="BM94" s="1"/>
      <c r="BN94" s="1"/>
      <c r="BO94" s="1" t="s">
        <v>372</v>
      </c>
      <c r="BP94" s="1" t="s">
        <v>372</v>
      </c>
      <c r="BQ94" s="50">
        <f t="shared" si="27"/>
        <v>0</v>
      </c>
      <c r="BR94" s="45">
        <f t="shared" si="41"/>
        <v>308</v>
      </c>
      <c r="BS94" s="70">
        <f t="shared" si="42"/>
        <v>51.333333333333336</v>
      </c>
      <c r="BT94" s="45" t="str">
        <f t="shared" si="29"/>
        <v>GRADE II</v>
      </c>
      <c r="BU94" s="1"/>
    </row>
    <row r="95" spans="1:73" x14ac:dyDescent="0.25">
      <c r="A95" s="1">
        <v>90</v>
      </c>
      <c r="B95" s="12" t="s">
        <v>98</v>
      </c>
      <c r="C95" s="1">
        <v>13</v>
      </c>
      <c r="D95" s="1">
        <v>25</v>
      </c>
      <c r="E95" s="1">
        <v>14</v>
      </c>
      <c r="F95" s="1">
        <v>16</v>
      </c>
      <c r="G95" s="1">
        <v>42</v>
      </c>
      <c r="H95" s="1">
        <f t="shared" si="30"/>
        <v>110</v>
      </c>
      <c r="I95" s="1">
        <f t="shared" si="31"/>
        <v>55</v>
      </c>
      <c r="J95" s="1"/>
      <c r="K95" s="1">
        <v>14</v>
      </c>
      <c r="L95" s="1">
        <v>25</v>
      </c>
      <c r="M95" s="1">
        <v>12</v>
      </c>
      <c r="N95" s="1">
        <v>14</v>
      </c>
      <c r="O95" s="1">
        <v>46</v>
      </c>
      <c r="P95" s="1">
        <f t="shared" si="32"/>
        <v>111</v>
      </c>
      <c r="Q95" s="1">
        <f t="shared" si="33"/>
        <v>56</v>
      </c>
      <c r="R95" s="1"/>
      <c r="S95" s="1">
        <v>21</v>
      </c>
      <c r="T95" s="1">
        <v>34</v>
      </c>
      <c r="U95" s="1">
        <v>12</v>
      </c>
      <c r="V95" s="1">
        <v>18</v>
      </c>
      <c r="W95" s="1">
        <v>47</v>
      </c>
      <c r="X95" s="1">
        <f t="shared" si="34"/>
        <v>132</v>
      </c>
      <c r="Y95" s="1">
        <f t="shared" si="35"/>
        <v>66</v>
      </c>
      <c r="Z95" s="1"/>
      <c r="AA95" s="1">
        <v>19</v>
      </c>
      <c r="AB95" s="1">
        <v>20</v>
      </c>
      <c r="AC95" s="1">
        <v>10</v>
      </c>
      <c r="AD95" s="1">
        <v>14</v>
      </c>
      <c r="AE95" s="1">
        <v>32</v>
      </c>
      <c r="AF95" s="1">
        <f t="shared" si="36"/>
        <v>95</v>
      </c>
      <c r="AG95" s="1">
        <f t="shared" si="37"/>
        <v>48</v>
      </c>
      <c r="AH95" s="1"/>
      <c r="AI95" s="1">
        <v>16</v>
      </c>
      <c r="AJ95" s="1">
        <v>28</v>
      </c>
      <c r="AK95" s="1">
        <v>11</v>
      </c>
      <c r="AL95" s="1">
        <v>16</v>
      </c>
      <c r="AM95" s="1">
        <v>44</v>
      </c>
      <c r="AN95" s="1">
        <f t="shared" si="38"/>
        <v>115</v>
      </c>
      <c r="AO95" s="1">
        <f t="shared" si="39"/>
        <v>58</v>
      </c>
      <c r="AP95" s="1"/>
      <c r="AQ95" s="1">
        <v>13</v>
      </c>
      <c r="AR95" s="1">
        <v>10</v>
      </c>
      <c r="AS95" s="1">
        <v>6.5</v>
      </c>
      <c r="AT95" s="1">
        <v>20</v>
      </c>
      <c r="AU95" s="1">
        <v>3</v>
      </c>
      <c r="AV95" s="1">
        <v>21</v>
      </c>
      <c r="AW95" s="1">
        <v>1</v>
      </c>
      <c r="AX95" s="1">
        <v>17</v>
      </c>
      <c r="AY95" s="1">
        <f t="shared" si="45"/>
        <v>16</v>
      </c>
      <c r="AZ95" s="1">
        <f t="shared" si="46"/>
        <v>31</v>
      </c>
      <c r="BA95" s="1">
        <f t="shared" si="44"/>
        <v>8</v>
      </c>
      <c r="BB95" s="1">
        <v>5</v>
      </c>
      <c r="BC95" s="1">
        <f t="shared" si="28"/>
        <v>37</v>
      </c>
      <c r="BD95" s="1">
        <f t="shared" si="40"/>
        <v>97</v>
      </c>
      <c r="BE95" s="1">
        <f t="shared" si="43"/>
        <v>49</v>
      </c>
      <c r="BF95" s="1"/>
      <c r="BG95" s="1"/>
      <c r="BH95" s="1"/>
      <c r="BI95" s="1"/>
      <c r="BJ95" s="1"/>
      <c r="BK95" s="1"/>
      <c r="BL95" s="1"/>
      <c r="BM95" s="1"/>
      <c r="BN95" s="1"/>
      <c r="BO95" s="1" t="s">
        <v>371</v>
      </c>
      <c r="BP95" s="1" t="s">
        <v>371</v>
      </c>
      <c r="BQ95" s="50">
        <f t="shared" si="27"/>
        <v>0</v>
      </c>
      <c r="BR95" s="45">
        <f t="shared" si="41"/>
        <v>332</v>
      </c>
      <c r="BS95" s="70">
        <f t="shared" si="42"/>
        <v>55.333333333333336</v>
      </c>
      <c r="BT95" s="45" t="str">
        <f t="shared" si="29"/>
        <v>GRADE II</v>
      </c>
      <c r="BU95" s="1"/>
    </row>
    <row r="96" spans="1:73" x14ac:dyDescent="0.25">
      <c r="A96" s="1">
        <v>91</v>
      </c>
      <c r="B96" s="12" t="s">
        <v>99</v>
      </c>
      <c r="C96" s="1">
        <v>9</v>
      </c>
      <c r="D96" s="1">
        <v>8</v>
      </c>
      <c r="E96" s="1">
        <v>12</v>
      </c>
      <c r="F96" s="1">
        <v>14</v>
      </c>
      <c r="G96" s="1">
        <v>27</v>
      </c>
      <c r="H96" s="1">
        <f t="shared" si="30"/>
        <v>70</v>
      </c>
      <c r="I96" s="1">
        <f t="shared" si="31"/>
        <v>35</v>
      </c>
      <c r="J96" s="1"/>
      <c r="K96" s="1">
        <v>12</v>
      </c>
      <c r="L96" s="1">
        <v>18</v>
      </c>
      <c r="M96" s="1">
        <v>9</v>
      </c>
      <c r="N96" s="1">
        <v>13</v>
      </c>
      <c r="O96" s="1">
        <v>31</v>
      </c>
      <c r="P96" s="1">
        <f t="shared" si="32"/>
        <v>83</v>
      </c>
      <c r="Q96" s="1">
        <f t="shared" si="33"/>
        <v>42</v>
      </c>
      <c r="R96" s="1"/>
      <c r="S96" s="1">
        <v>11</v>
      </c>
      <c r="T96" s="1">
        <v>26</v>
      </c>
      <c r="U96" s="1">
        <v>9</v>
      </c>
      <c r="V96" s="1">
        <v>17</v>
      </c>
      <c r="W96" s="1">
        <v>35</v>
      </c>
      <c r="X96" s="1">
        <f t="shared" si="34"/>
        <v>98</v>
      </c>
      <c r="Y96" s="1">
        <f t="shared" si="35"/>
        <v>49</v>
      </c>
      <c r="Z96" s="1"/>
      <c r="AA96" s="1">
        <v>11</v>
      </c>
      <c r="AB96" s="1">
        <v>16</v>
      </c>
      <c r="AC96" s="1">
        <v>9</v>
      </c>
      <c r="AD96" s="1">
        <v>12</v>
      </c>
      <c r="AE96" s="1">
        <v>18</v>
      </c>
      <c r="AF96" s="1">
        <f t="shared" si="36"/>
        <v>66</v>
      </c>
      <c r="AG96" s="1">
        <f t="shared" si="37"/>
        <v>33</v>
      </c>
      <c r="AH96" s="1">
        <v>2</v>
      </c>
      <c r="AI96" s="1">
        <v>10</v>
      </c>
      <c r="AJ96" s="1">
        <v>27</v>
      </c>
      <c r="AK96" s="1">
        <v>10</v>
      </c>
      <c r="AL96" s="1">
        <v>16</v>
      </c>
      <c r="AM96" s="1">
        <v>31</v>
      </c>
      <c r="AN96" s="1">
        <f t="shared" si="38"/>
        <v>94</v>
      </c>
      <c r="AO96" s="1">
        <f t="shared" si="39"/>
        <v>47</v>
      </c>
      <c r="AP96" s="1"/>
      <c r="AQ96" s="1">
        <v>7</v>
      </c>
      <c r="AR96" s="1">
        <v>6</v>
      </c>
      <c r="AS96" s="1">
        <v>4</v>
      </c>
      <c r="AT96" s="1">
        <v>12</v>
      </c>
      <c r="AU96" s="1">
        <v>4.5</v>
      </c>
      <c r="AV96" s="1">
        <v>5</v>
      </c>
      <c r="AW96" s="1">
        <v>4</v>
      </c>
      <c r="AX96" s="1">
        <v>10</v>
      </c>
      <c r="AY96" s="1">
        <f t="shared" si="45"/>
        <v>12</v>
      </c>
      <c r="AZ96" s="1">
        <f t="shared" si="46"/>
        <v>11</v>
      </c>
      <c r="BA96" s="1">
        <f t="shared" si="44"/>
        <v>8</v>
      </c>
      <c r="BB96" s="1">
        <v>10</v>
      </c>
      <c r="BC96" s="1">
        <f t="shared" si="28"/>
        <v>22</v>
      </c>
      <c r="BD96" s="1">
        <f t="shared" si="40"/>
        <v>63</v>
      </c>
      <c r="BE96" s="1">
        <f t="shared" si="43"/>
        <v>32</v>
      </c>
      <c r="BF96" s="1">
        <v>3</v>
      </c>
      <c r="BG96" s="1"/>
      <c r="BH96" s="1"/>
      <c r="BI96" s="1"/>
      <c r="BJ96" s="1"/>
      <c r="BK96" s="1"/>
      <c r="BL96" s="1"/>
      <c r="BM96" s="1"/>
      <c r="BN96" s="1"/>
      <c r="BO96" s="1" t="s">
        <v>371</v>
      </c>
      <c r="BP96" s="1" t="s">
        <v>371</v>
      </c>
      <c r="BQ96" s="50">
        <f t="shared" si="27"/>
        <v>5</v>
      </c>
      <c r="BR96" s="45">
        <f t="shared" si="41"/>
        <v>238</v>
      </c>
      <c r="BS96" s="70">
        <f t="shared" si="42"/>
        <v>39.666666666666664</v>
      </c>
      <c r="BT96" s="45" t="s">
        <v>375</v>
      </c>
      <c r="BU96" s="1"/>
    </row>
    <row r="97" spans="1:73" x14ac:dyDescent="0.25">
      <c r="A97" s="1">
        <v>92</v>
      </c>
      <c r="B97" s="12" t="s">
        <v>100</v>
      </c>
      <c r="C97" s="1">
        <v>8</v>
      </c>
      <c r="D97" s="1">
        <v>15</v>
      </c>
      <c r="E97" s="1">
        <v>11</v>
      </c>
      <c r="F97" s="1">
        <v>12</v>
      </c>
      <c r="G97" s="1">
        <v>43</v>
      </c>
      <c r="H97" s="1">
        <f t="shared" si="30"/>
        <v>89</v>
      </c>
      <c r="I97" s="1">
        <f t="shared" si="31"/>
        <v>45</v>
      </c>
      <c r="J97" s="1"/>
      <c r="K97" s="1">
        <v>11</v>
      </c>
      <c r="L97" s="1">
        <v>27</v>
      </c>
      <c r="M97" s="1">
        <v>12</v>
      </c>
      <c r="N97" s="1">
        <v>14</v>
      </c>
      <c r="O97" s="1">
        <v>40</v>
      </c>
      <c r="P97" s="1">
        <f t="shared" si="32"/>
        <v>104</v>
      </c>
      <c r="Q97" s="1">
        <f t="shared" si="33"/>
        <v>52</v>
      </c>
      <c r="R97" s="1"/>
      <c r="S97" s="1">
        <v>18</v>
      </c>
      <c r="T97" s="1">
        <v>25</v>
      </c>
      <c r="U97" s="1">
        <v>10</v>
      </c>
      <c r="V97" s="1">
        <v>18</v>
      </c>
      <c r="W97" s="1">
        <v>46</v>
      </c>
      <c r="X97" s="1">
        <f t="shared" si="34"/>
        <v>117</v>
      </c>
      <c r="Y97" s="1">
        <f t="shared" si="35"/>
        <v>59</v>
      </c>
      <c r="Z97" s="1"/>
      <c r="AA97" s="1">
        <v>13</v>
      </c>
      <c r="AB97" s="1">
        <v>19</v>
      </c>
      <c r="AC97" s="1">
        <v>6</v>
      </c>
      <c r="AD97" s="1">
        <v>10</v>
      </c>
      <c r="AE97" s="1">
        <v>28</v>
      </c>
      <c r="AF97" s="1">
        <f t="shared" si="36"/>
        <v>76</v>
      </c>
      <c r="AG97" s="1">
        <f t="shared" si="37"/>
        <v>38</v>
      </c>
      <c r="AH97" s="1"/>
      <c r="AI97" s="1">
        <v>9</v>
      </c>
      <c r="AJ97" s="1">
        <v>17</v>
      </c>
      <c r="AK97" s="1">
        <v>9</v>
      </c>
      <c r="AL97" s="1">
        <v>16</v>
      </c>
      <c r="AM97" s="1">
        <v>31</v>
      </c>
      <c r="AN97" s="1">
        <f t="shared" si="38"/>
        <v>82</v>
      </c>
      <c r="AO97" s="1">
        <f t="shared" si="39"/>
        <v>41</v>
      </c>
      <c r="AP97" s="1"/>
      <c r="AQ97" s="1">
        <v>4</v>
      </c>
      <c r="AR97" s="1">
        <v>3</v>
      </c>
      <c r="AS97" s="1">
        <v>3.5</v>
      </c>
      <c r="AT97" s="1">
        <v>17</v>
      </c>
      <c r="AU97" s="1">
        <v>3</v>
      </c>
      <c r="AV97" s="1">
        <v>5.5</v>
      </c>
      <c r="AW97" s="1">
        <v>3</v>
      </c>
      <c r="AX97" s="1">
        <v>11</v>
      </c>
      <c r="AY97" s="1">
        <f t="shared" si="45"/>
        <v>7</v>
      </c>
      <c r="AZ97" s="1">
        <f t="shared" si="46"/>
        <v>9</v>
      </c>
      <c r="BA97" s="1">
        <f t="shared" si="44"/>
        <v>7</v>
      </c>
      <c r="BB97" s="1">
        <v>15</v>
      </c>
      <c r="BC97" s="1">
        <f t="shared" si="28"/>
        <v>28</v>
      </c>
      <c r="BD97" s="1">
        <f t="shared" si="40"/>
        <v>66</v>
      </c>
      <c r="BE97" s="1">
        <f t="shared" si="43"/>
        <v>33</v>
      </c>
      <c r="BF97" s="1">
        <v>2</v>
      </c>
      <c r="BG97" s="1"/>
      <c r="BH97" s="1"/>
      <c r="BI97" s="1"/>
      <c r="BJ97" s="1"/>
      <c r="BK97" s="1"/>
      <c r="BL97" s="1"/>
      <c r="BM97" s="1"/>
      <c r="BN97" s="1"/>
      <c r="BO97" s="1" t="s">
        <v>371</v>
      </c>
      <c r="BP97" s="1" t="s">
        <v>371</v>
      </c>
      <c r="BQ97" s="50">
        <f t="shared" si="27"/>
        <v>2</v>
      </c>
      <c r="BR97" s="45">
        <f t="shared" si="41"/>
        <v>268</v>
      </c>
      <c r="BS97" s="70">
        <f t="shared" si="42"/>
        <v>44.666666666666664</v>
      </c>
      <c r="BT97" s="45" t="s">
        <v>375</v>
      </c>
      <c r="BU97" s="1"/>
    </row>
    <row r="98" spans="1:73" x14ac:dyDescent="0.25">
      <c r="A98" s="1">
        <v>93</v>
      </c>
      <c r="B98" s="12" t="s">
        <v>101</v>
      </c>
      <c r="C98" s="1">
        <v>12</v>
      </c>
      <c r="D98" s="1">
        <v>23</v>
      </c>
      <c r="E98" s="1">
        <v>17</v>
      </c>
      <c r="F98" s="1">
        <v>16</v>
      </c>
      <c r="G98" s="1">
        <v>51</v>
      </c>
      <c r="H98" s="1">
        <f t="shared" si="30"/>
        <v>119</v>
      </c>
      <c r="I98" s="1">
        <f t="shared" si="31"/>
        <v>60</v>
      </c>
      <c r="J98" s="1"/>
      <c r="K98" s="1">
        <v>18</v>
      </c>
      <c r="L98" s="1">
        <v>35</v>
      </c>
      <c r="M98" s="1">
        <v>14</v>
      </c>
      <c r="N98" s="1">
        <v>16</v>
      </c>
      <c r="O98" s="1">
        <v>46</v>
      </c>
      <c r="P98" s="1">
        <f t="shared" si="32"/>
        <v>129</v>
      </c>
      <c r="Q98" s="1">
        <f t="shared" si="33"/>
        <v>65</v>
      </c>
      <c r="R98" s="1"/>
      <c r="S98" s="1">
        <v>25</v>
      </c>
      <c r="T98" s="1">
        <v>41</v>
      </c>
      <c r="U98" s="1">
        <v>21</v>
      </c>
      <c r="V98" s="1">
        <v>18</v>
      </c>
      <c r="W98" s="1">
        <v>69</v>
      </c>
      <c r="X98" s="1">
        <f t="shared" si="34"/>
        <v>174</v>
      </c>
      <c r="Y98" s="1">
        <f t="shared" si="35"/>
        <v>87</v>
      </c>
      <c r="Z98" s="1"/>
      <c r="AA98" s="1">
        <v>18</v>
      </c>
      <c r="AB98" s="1">
        <v>24</v>
      </c>
      <c r="AC98" s="1">
        <v>10</v>
      </c>
      <c r="AD98" s="1">
        <v>14</v>
      </c>
      <c r="AE98" s="1">
        <v>23</v>
      </c>
      <c r="AF98" s="1">
        <f t="shared" si="36"/>
        <v>89</v>
      </c>
      <c r="AG98" s="1">
        <f t="shared" si="37"/>
        <v>45</v>
      </c>
      <c r="AH98" s="1"/>
      <c r="AI98" s="1">
        <v>16</v>
      </c>
      <c r="AJ98" s="1">
        <v>39</v>
      </c>
      <c r="AK98" s="1">
        <v>16</v>
      </c>
      <c r="AL98" s="1">
        <v>16</v>
      </c>
      <c r="AM98" s="1">
        <v>49</v>
      </c>
      <c r="AN98" s="1">
        <f t="shared" si="38"/>
        <v>136</v>
      </c>
      <c r="AO98" s="1">
        <f t="shared" si="39"/>
        <v>68</v>
      </c>
      <c r="AP98" s="1"/>
      <c r="AQ98" s="1">
        <v>7</v>
      </c>
      <c r="AR98" s="1">
        <v>5</v>
      </c>
      <c r="AS98" s="1">
        <v>3</v>
      </c>
      <c r="AT98" s="1">
        <v>19</v>
      </c>
      <c r="AU98" s="1">
        <v>6.5</v>
      </c>
      <c r="AV98" s="1">
        <v>7</v>
      </c>
      <c r="AW98" s="1">
        <v>3</v>
      </c>
      <c r="AX98" s="1">
        <v>20</v>
      </c>
      <c r="AY98" s="1">
        <f t="shared" si="45"/>
        <v>14</v>
      </c>
      <c r="AZ98" s="1">
        <f t="shared" si="46"/>
        <v>12</v>
      </c>
      <c r="BA98" s="1">
        <f t="shared" si="44"/>
        <v>6</v>
      </c>
      <c r="BB98" s="1">
        <v>15</v>
      </c>
      <c r="BC98" s="1">
        <f t="shared" si="28"/>
        <v>39</v>
      </c>
      <c r="BD98" s="1">
        <f t="shared" si="40"/>
        <v>86</v>
      </c>
      <c r="BE98" s="1">
        <f t="shared" si="43"/>
        <v>43</v>
      </c>
      <c r="BF98" s="1"/>
      <c r="BG98" s="1"/>
      <c r="BH98" s="1"/>
      <c r="BI98" s="1"/>
      <c r="BJ98" s="1"/>
      <c r="BK98" s="1"/>
      <c r="BL98" s="1"/>
      <c r="BM98" s="1"/>
      <c r="BN98" s="1"/>
      <c r="BO98" s="1" t="s">
        <v>371</v>
      </c>
      <c r="BP98" s="1" t="s">
        <v>371</v>
      </c>
      <c r="BQ98" s="50">
        <f t="shared" si="27"/>
        <v>0</v>
      </c>
      <c r="BR98" s="45">
        <f t="shared" si="41"/>
        <v>368</v>
      </c>
      <c r="BS98" s="70">
        <f t="shared" si="42"/>
        <v>61.333333333333336</v>
      </c>
      <c r="BT98" s="45" t="str">
        <f t="shared" si="29"/>
        <v>GRADE I</v>
      </c>
      <c r="BU98" s="1"/>
    </row>
    <row r="99" spans="1:73" x14ac:dyDescent="0.25">
      <c r="A99" s="1">
        <v>94</v>
      </c>
      <c r="B99" s="12" t="s">
        <v>102</v>
      </c>
      <c r="C99" s="1">
        <v>8</v>
      </c>
      <c r="D99" s="1">
        <v>20</v>
      </c>
      <c r="E99" s="1">
        <v>11</v>
      </c>
      <c r="F99" s="1">
        <v>14</v>
      </c>
      <c r="G99" s="1">
        <v>41</v>
      </c>
      <c r="H99" s="1">
        <f t="shared" si="30"/>
        <v>94</v>
      </c>
      <c r="I99" s="1">
        <f t="shared" si="31"/>
        <v>47</v>
      </c>
      <c r="J99" s="1"/>
      <c r="K99" s="1">
        <v>14</v>
      </c>
      <c r="L99" s="1">
        <v>33</v>
      </c>
      <c r="M99" s="1">
        <v>12</v>
      </c>
      <c r="N99" s="1">
        <v>13</v>
      </c>
      <c r="O99" s="1">
        <v>42</v>
      </c>
      <c r="P99" s="1">
        <f t="shared" si="32"/>
        <v>114</v>
      </c>
      <c r="Q99" s="1">
        <f t="shared" si="33"/>
        <v>57</v>
      </c>
      <c r="R99" s="1"/>
      <c r="S99" s="1">
        <v>17</v>
      </c>
      <c r="T99" s="1">
        <v>35</v>
      </c>
      <c r="U99" s="1">
        <v>15</v>
      </c>
      <c r="V99" s="1">
        <v>19</v>
      </c>
      <c r="W99" s="1">
        <v>56</v>
      </c>
      <c r="X99" s="1">
        <f t="shared" si="34"/>
        <v>142</v>
      </c>
      <c r="Y99" s="1">
        <f t="shared" si="35"/>
        <v>71</v>
      </c>
      <c r="Z99" s="1"/>
      <c r="AA99" s="1">
        <v>16</v>
      </c>
      <c r="AB99" s="1">
        <v>15</v>
      </c>
      <c r="AC99" s="1">
        <v>10</v>
      </c>
      <c r="AD99" s="1">
        <v>13</v>
      </c>
      <c r="AE99" s="1">
        <v>25</v>
      </c>
      <c r="AF99" s="1">
        <f t="shared" si="36"/>
        <v>79</v>
      </c>
      <c r="AG99" s="1">
        <f t="shared" si="37"/>
        <v>40</v>
      </c>
      <c r="AH99" s="1"/>
      <c r="AI99" s="1">
        <v>14</v>
      </c>
      <c r="AJ99" s="1">
        <v>32</v>
      </c>
      <c r="AK99" s="1">
        <v>14</v>
      </c>
      <c r="AL99" s="1">
        <v>19</v>
      </c>
      <c r="AM99" s="1">
        <v>46</v>
      </c>
      <c r="AN99" s="1">
        <f t="shared" si="38"/>
        <v>125</v>
      </c>
      <c r="AO99" s="1">
        <f t="shared" si="39"/>
        <v>63</v>
      </c>
      <c r="AP99" s="1"/>
      <c r="AQ99" s="1">
        <v>9</v>
      </c>
      <c r="AR99" s="1">
        <v>12</v>
      </c>
      <c r="AS99" s="1">
        <v>6</v>
      </c>
      <c r="AT99" s="1">
        <v>20</v>
      </c>
      <c r="AU99" s="1">
        <v>3</v>
      </c>
      <c r="AV99" s="1">
        <v>12</v>
      </c>
      <c r="AW99" s="1">
        <v>3.5</v>
      </c>
      <c r="AX99" s="1">
        <v>18</v>
      </c>
      <c r="AY99" s="1">
        <f t="shared" si="45"/>
        <v>12</v>
      </c>
      <c r="AZ99" s="1">
        <f t="shared" si="46"/>
        <v>24</v>
      </c>
      <c r="BA99" s="1">
        <f t="shared" si="44"/>
        <v>10</v>
      </c>
      <c r="BB99" s="1">
        <v>8</v>
      </c>
      <c r="BC99" s="1">
        <f t="shared" si="28"/>
        <v>38</v>
      </c>
      <c r="BD99" s="1">
        <f t="shared" si="40"/>
        <v>92</v>
      </c>
      <c r="BE99" s="1">
        <f t="shared" si="43"/>
        <v>46</v>
      </c>
      <c r="BF99" s="1"/>
      <c r="BG99" s="1"/>
      <c r="BH99" s="1"/>
      <c r="BI99" s="1"/>
      <c r="BJ99" s="1"/>
      <c r="BK99" s="1"/>
      <c r="BL99" s="1"/>
      <c r="BM99" s="1"/>
      <c r="BN99" s="1"/>
      <c r="BO99" s="1" t="s">
        <v>371</v>
      </c>
      <c r="BP99" s="1" t="s">
        <v>371</v>
      </c>
      <c r="BQ99" s="50">
        <f t="shared" si="27"/>
        <v>0</v>
      </c>
      <c r="BR99" s="45">
        <f t="shared" si="41"/>
        <v>324</v>
      </c>
      <c r="BS99" s="70">
        <f t="shared" si="42"/>
        <v>54</v>
      </c>
      <c r="BT99" s="45" t="str">
        <f t="shared" si="29"/>
        <v>GRADE II</v>
      </c>
      <c r="BU99" s="1"/>
    </row>
    <row r="100" spans="1:73" x14ac:dyDescent="0.25">
      <c r="A100" s="1">
        <v>95</v>
      </c>
      <c r="B100" s="12" t="s">
        <v>103</v>
      </c>
      <c r="C100" s="1">
        <v>6</v>
      </c>
      <c r="D100" s="1">
        <v>10</v>
      </c>
      <c r="E100" s="1">
        <v>14</v>
      </c>
      <c r="F100" s="1">
        <v>13</v>
      </c>
      <c r="G100" s="1">
        <v>29</v>
      </c>
      <c r="H100" s="1">
        <f t="shared" si="30"/>
        <v>72</v>
      </c>
      <c r="I100" s="1">
        <f t="shared" si="31"/>
        <v>36</v>
      </c>
      <c r="J100" s="1"/>
      <c r="K100" s="1">
        <v>7</v>
      </c>
      <c r="L100" s="1">
        <v>5</v>
      </c>
      <c r="M100" s="1">
        <v>11</v>
      </c>
      <c r="N100" s="1">
        <v>10</v>
      </c>
      <c r="O100" s="1">
        <v>19</v>
      </c>
      <c r="P100" s="1">
        <f t="shared" si="32"/>
        <v>52</v>
      </c>
      <c r="Q100" s="1">
        <f t="shared" si="33"/>
        <v>26</v>
      </c>
      <c r="R100" s="1">
        <v>9</v>
      </c>
      <c r="S100" s="1">
        <v>10</v>
      </c>
      <c r="T100" s="1">
        <v>22</v>
      </c>
      <c r="U100" s="1">
        <v>9</v>
      </c>
      <c r="V100" s="1">
        <v>15</v>
      </c>
      <c r="W100" s="1">
        <v>36</v>
      </c>
      <c r="X100" s="1">
        <f t="shared" si="34"/>
        <v>92</v>
      </c>
      <c r="Y100" s="1">
        <f t="shared" si="35"/>
        <v>46</v>
      </c>
      <c r="Z100" s="1"/>
      <c r="AA100" s="1">
        <v>16</v>
      </c>
      <c r="AB100" s="1">
        <v>16</v>
      </c>
      <c r="AC100" s="1">
        <v>8</v>
      </c>
      <c r="AD100" s="1">
        <v>11</v>
      </c>
      <c r="AE100" s="1">
        <v>30</v>
      </c>
      <c r="AF100" s="1">
        <f t="shared" si="36"/>
        <v>81</v>
      </c>
      <c r="AG100" s="1">
        <f t="shared" si="37"/>
        <v>41</v>
      </c>
      <c r="AH100" s="1"/>
      <c r="AI100" s="1">
        <v>8</v>
      </c>
      <c r="AJ100" s="1">
        <v>21</v>
      </c>
      <c r="AK100" s="1">
        <v>8</v>
      </c>
      <c r="AL100" s="1">
        <v>14</v>
      </c>
      <c r="AM100" s="1">
        <v>32</v>
      </c>
      <c r="AN100" s="1">
        <f t="shared" si="38"/>
        <v>83</v>
      </c>
      <c r="AO100" s="1">
        <f t="shared" si="39"/>
        <v>42</v>
      </c>
      <c r="AP100" s="1"/>
      <c r="AQ100" s="1">
        <v>4</v>
      </c>
      <c r="AR100" s="1">
        <v>5</v>
      </c>
      <c r="AS100" s="1">
        <v>1.5</v>
      </c>
      <c r="AT100" s="1">
        <v>18</v>
      </c>
      <c r="AU100" s="1">
        <v>4</v>
      </c>
      <c r="AV100" s="1">
        <v>7</v>
      </c>
      <c r="AW100" s="1">
        <v>4</v>
      </c>
      <c r="AX100" s="1">
        <v>18</v>
      </c>
      <c r="AY100" s="1">
        <f t="shared" si="45"/>
        <v>8</v>
      </c>
      <c r="AZ100" s="1">
        <f t="shared" si="46"/>
        <v>12</v>
      </c>
      <c r="BA100" s="1">
        <f t="shared" si="44"/>
        <v>6</v>
      </c>
      <c r="BB100" s="1">
        <v>10</v>
      </c>
      <c r="BC100" s="1">
        <f t="shared" si="28"/>
        <v>36</v>
      </c>
      <c r="BD100" s="1">
        <f t="shared" si="40"/>
        <v>72</v>
      </c>
      <c r="BE100" s="1">
        <f t="shared" si="43"/>
        <v>36</v>
      </c>
      <c r="BF100" s="1"/>
      <c r="BG100" s="1"/>
      <c r="BH100" s="1"/>
      <c r="BI100" s="1"/>
      <c r="BJ100" s="1"/>
      <c r="BK100" s="1"/>
      <c r="BL100" s="1"/>
      <c r="BM100" s="1"/>
      <c r="BN100" s="1"/>
      <c r="BO100" s="1" t="s">
        <v>372</v>
      </c>
      <c r="BP100" s="1" t="s">
        <v>372</v>
      </c>
      <c r="BQ100" s="50">
        <f t="shared" si="27"/>
        <v>9</v>
      </c>
      <c r="BR100" s="45">
        <f t="shared" si="41"/>
        <v>227</v>
      </c>
      <c r="BS100" s="70">
        <f t="shared" si="42"/>
        <v>37.833333333333336</v>
      </c>
      <c r="BT100" s="45" t="s">
        <v>375</v>
      </c>
      <c r="BU100" s="1"/>
    </row>
    <row r="101" spans="1:73" x14ac:dyDescent="0.25">
      <c r="A101" s="1">
        <v>96</v>
      </c>
      <c r="B101" s="12" t="s">
        <v>104</v>
      </c>
      <c r="C101" s="1">
        <v>7</v>
      </c>
      <c r="D101" s="1">
        <v>20</v>
      </c>
      <c r="E101" s="1">
        <v>16</v>
      </c>
      <c r="F101" s="1">
        <v>15</v>
      </c>
      <c r="G101" s="1">
        <v>44</v>
      </c>
      <c r="H101" s="1">
        <f t="shared" si="30"/>
        <v>102</v>
      </c>
      <c r="I101" s="1">
        <f t="shared" si="31"/>
        <v>51</v>
      </c>
      <c r="J101" s="1"/>
      <c r="K101" s="1">
        <v>15</v>
      </c>
      <c r="L101" s="1">
        <v>23</v>
      </c>
      <c r="M101" s="1">
        <v>16</v>
      </c>
      <c r="N101" s="1">
        <v>15</v>
      </c>
      <c r="O101" s="1">
        <v>38</v>
      </c>
      <c r="P101" s="1">
        <f t="shared" si="32"/>
        <v>107</v>
      </c>
      <c r="Q101" s="1">
        <f t="shared" si="33"/>
        <v>54</v>
      </c>
      <c r="R101" s="1"/>
      <c r="S101" s="1">
        <v>24</v>
      </c>
      <c r="T101" s="1">
        <v>38</v>
      </c>
      <c r="U101" s="1">
        <v>20</v>
      </c>
      <c r="V101" s="1">
        <v>19</v>
      </c>
      <c r="W101" s="1">
        <v>65</v>
      </c>
      <c r="X101" s="1">
        <f t="shared" si="34"/>
        <v>166</v>
      </c>
      <c r="Y101" s="1">
        <f t="shared" si="35"/>
        <v>83</v>
      </c>
      <c r="Z101" s="1"/>
      <c r="AA101" s="1">
        <v>19</v>
      </c>
      <c r="AB101" s="1">
        <v>23</v>
      </c>
      <c r="AC101" s="1">
        <v>9</v>
      </c>
      <c r="AD101" s="1">
        <v>15</v>
      </c>
      <c r="AE101" s="1">
        <v>41</v>
      </c>
      <c r="AF101" s="1">
        <f t="shared" si="36"/>
        <v>107</v>
      </c>
      <c r="AG101" s="1">
        <f t="shared" si="37"/>
        <v>54</v>
      </c>
      <c r="AH101" s="1"/>
      <c r="AI101" s="1">
        <v>14</v>
      </c>
      <c r="AJ101" s="1">
        <v>40</v>
      </c>
      <c r="AK101" s="1">
        <v>12</v>
      </c>
      <c r="AL101" s="1">
        <v>17</v>
      </c>
      <c r="AM101" s="1">
        <v>47</v>
      </c>
      <c r="AN101" s="1">
        <f t="shared" si="38"/>
        <v>130</v>
      </c>
      <c r="AO101" s="1">
        <f t="shared" si="39"/>
        <v>65</v>
      </c>
      <c r="AP101" s="1"/>
      <c r="AQ101" s="1">
        <v>12</v>
      </c>
      <c r="AR101" s="1">
        <v>18.5</v>
      </c>
      <c r="AS101" s="1">
        <v>1</v>
      </c>
      <c r="AT101" s="1">
        <v>27</v>
      </c>
      <c r="AU101" s="1">
        <v>6</v>
      </c>
      <c r="AV101" s="1">
        <v>15.5</v>
      </c>
      <c r="AW101" s="1">
        <v>8.5</v>
      </c>
      <c r="AX101" s="1">
        <v>18</v>
      </c>
      <c r="AY101" s="1">
        <f t="shared" si="45"/>
        <v>18</v>
      </c>
      <c r="AZ101" s="1">
        <f t="shared" si="46"/>
        <v>34</v>
      </c>
      <c r="BA101" s="1">
        <f t="shared" si="44"/>
        <v>10</v>
      </c>
      <c r="BB101" s="1">
        <v>11</v>
      </c>
      <c r="BC101" s="1">
        <f t="shared" si="28"/>
        <v>45</v>
      </c>
      <c r="BD101" s="1">
        <f t="shared" si="40"/>
        <v>118</v>
      </c>
      <c r="BE101" s="1">
        <f t="shared" si="43"/>
        <v>59</v>
      </c>
      <c r="BF101" s="1"/>
      <c r="BG101" s="1"/>
      <c r="BH101" s="1"/>
      <c r="BI101" s="1"/>
      <c r="BJ101" s="1"/>
      <c r="BK101" s="1"/>
      <c r="BL101" s="1"/>
      <c r="BM101" s="1"/>
      <c r="BN101" s="1"/>
      <c r="BO101" s="1" t="s">
        <v>371</v>
      </c>
      <c r="BP101" s="1" t="s">
        <v>371</v>
      </c>
      <c r="BQ101" s="50">
        <f t="shared" si="27"/>
        <v>0</v>
      </c>
      <c r="BR101" s="45">
        <f t="shared" si="41"/>
        <v>366</v>
      </c>
      <c r="BS101" s="70">
        <f t="shared" si="42"/>
        <v>61</v>
      </c>
      <c r="BT101" s="45" t="str">
        <f t="shared" si="29"/>
        <v>GRADE I</v>
      </c>
      <c r="BU101" s="1"/>
    </row>
    <row r="102" spans="1:73" x14ac:dyDescent="0.25">
      <c r="A102" s="1">
        <v>97</v>
      </c>
      <c r="B102" s="12" t="s">
        <v>105</v>
      </c>
      <c r="C102" s="1">
        <v>9</v>
      </c>
      <c r="D102" s="1">
        <v>19</v>
      </c>
      <c r="E102" s="1">
        <v>13</v>
      </c>
      <c r="F102" s="1">
        <v>15</v>
      </c>
      <c r="G102" s="1">
        <v>42</v>
      </c>
      <c r="H102" s="1">
        <f t="shared" si="30"/>
        <v>98</v>
      </c>
      <c r="I102" s="1">
        <f t="shared" si="31"/>
        <v>49</v>
      </c>
      <c r="J102" s="1"/>
      <c r="K102" s="1">
        <v>13</v>
      </c>
      <c r="L102" s="1">
        <v>23</v>
      </c>
      <c r="M102" s="1">
        <v>11</v>
      </c>
      <c r="N102" s="1">
        <v>13</v>
      </c>
      <c r="O102" s="1">
        <v>28</v>
      </c>
      <c r="P102" s="1">
        <f t="shared" si="32"/>
        <v>88</v>
      </c>
      <c r="Q102" s="1">
        <f t="shared" si="33"/>
        <v>44</v>
      </c>
      <c r="R102" s="1"/>
      <c r="S102" s="1">
        <v>13</v>
      </c>
      <c r="T102" s="1">
        <v>26</v>
      </c>
      <c r="U102" s="1">
        <v>11</v>
      </c>
      <c r="V102" s="1">
        <v>17</v>
      </c>
      <c r="W102" s="1">
        <v>48</v>
      </c>
      <c r="X102" s="1">
        <f t="shared" si="34"/>
        <v>115</v>
      </c>
      <c r="Y102" s="1">
        <f t="shared" si="35"/>
        <v>58</v>
      </c>
      <c r="Z102" s="1"/>
      <c r="AA102" s="1">
        <v>14</v>
      </c>
      <c r="AB102" s="1">
        <v>7</v>
      </c>
      <c r="AC102" s="1">
        <v>8</v>
      </c>
      <c r="AD102" s="1">
        <v>12</v>
      </c>
      <c r="AE102" s="1">
        <v>27</v>
      </c>
      <c r="AF102" s="1">
        <f t="shared" si="36"/>
        <v>68</v>
      </c>
      <c r="AG102" s="1">
        <f t="shared" si="37"/>
        <v>34</v>
      </c>
      <c r="AH102" s="1">
        <v>1</v>
      </c>
      <c r="AI102" s="1">
        <v>9</v>
      </c>
      <c r="AJ102" s="1">
        <v>18</v>
      </c>
      <c r="AK102" s="1">
        <v>9</v>
      </c>
      <c r="AL102" s="1">
        <v>13</v>
      </c>
      <c r="AM102" s="1">
        <v>37</v>
      </c>
      <c r="AN102" s="1">
        <f t="shared" si="38"/>
        <v>86</v>
      </c>
      <c r="AO102" s="1">
        <f t="shared" si="39"/>
        <v>43</v>
      </c>
      <c r="AP102" s="1"/>
      <c r="AQ102" s="1">
        <v>2</v>
      </c>
      <c r="AR102" s="1">
        <v>1</v>
      </c>
      <c r="AS102" s="1">
        <v>1</v>
      </c>
      <c r="AT102" s="1">
        <v>17</v>
      </c>
      <c r="AU102" s="1">
        <v>2</v>
      </c>
      <c r="AV102" s="1">
        <v>5</v>
      </c>
      <c r="AW102" s="1">
        <v>0</v>
      </c>
      <c r="AX102" s="1">
        <v>6</v>
      </c>
      <c r="AY102" s="1">
        <f t="shared" si="45"/>
        <v>4</v>
      </c>
      <c r="AZ102" s="1">
        <f t="shared" si="46"/>
        <v>6</v>
      </c>
      <c r="BA102" s="1">
        <f t="shared" si="44"/>
        <v>1</v>
      </c>
      <c r="BB102" s="1">
        <v>15</v>
      </c>
      <c r="BC102" s="1">
        <f t="shared" ref="BC102:BC125" si="47">ROUND(AT102+AX102,0)</f>
        <v>23</v>
      </c>
      <c r="BD102" s="1">
        <f t="shared" si="40"/>
        <v>49</v>
      </c>
      <c r="BE102" s="1">
        <f t="shared" si="43"/>
        <v>25</v>
      </c>
      <c r="BF102" s="1">
        <v>10</v>
      </c>
      <c r="BG102" s="1"/>
      <c r="BH102" s="1"/>
      <c r="BI102" s="1"/>
      <c r="BJ102" s="1"/>
      <c r="BK102" s="1"/>
      <c r="BL102" s="1"/>
      <c r="BM102" s="1"/>
      <c r="BN102" s="1"/>
      <c r="BO102" s="1" t="s">
        <v>371</v>
      </c>
      <c r="BP102" s="1" t="s">
        <v>371</v>
      </c>
      <c r="BQ102" s="50">
        <f t="shared" si="27"/>
        <v>11</v>
      </c>
      <c r="BR102" s="45">
        <f t="shared" si="41"/>
        <v>253</v>
      </c>
      <c r="BS102" s="70">
        <f t="shared" si="42"/>
        <v>42.166666666666664</v>
      </c>
      <c r="BT102" s="45" t="str">
        <f t="shared" si="29"/>
        <v>PASS</v>
      </c>
      <c r="BU102" s="1"/>
    </row>
    <row r="103" spans="1:73" x14ac:dyDescent="0.25">
      <c r="A103" s="1">
        <v>98</v>
      </c>
      <c r="B103" s="12" t="s">
        <v>106</v>
      </c>
      <c r="C103" s="1">
        <v>11</v>
      </c>
      <c r="D103" s="1">
        <v>18</v>
      </c>
      <c r="E103" s="1">
        <v>11</v>
      </c>
      <c r="F103" s="1">
        <v>16</v>
      </c>
      <c r="G103" s="1">
        <v>41</v>
      </c>
      <c r="H103" s="1">
        <f t="shared" si="30"/>
        <v>97</v>
      </c>
      <c r="I103" s="1">
        <f t="shared" si="31"/>
        <v>49</v>
      </c>
      <c r="J103" s="1"/>
      <c r="K103" s="1">
        <v>15</v>
      </c>
      <c r="L103" s="1">
        <v>26</v>
      </c>
      <c r="M103" s="1">
        <v>15</v>
      </c>
      <c r="N103" s="1">
        <v>15</v>
      </c>
      <c r="O103" s="1">
        <v>39</v>
      </c>
      <c r="P103" s="1">
        <f t="shared" si="32"/>
        <v>110</v>
      </c>
      <c r="Q103" s="1">
        <f t="shared" si="33"/>
        <v>55</v>
      </c>
      <c r="R103" s="1"/>
      <c r="S103" s="1">
        <v>13</v>
      </c>
      <c r="T103" s="1">
        <v>24</v>
      </c>
      <c r="U103" s="1">
        <v>11</v>
      </c>
      <c r="V103" s="1">
        <v>19</v>
      </c>
      <c r="W103" s="1">
        <v>40</v>
      </c>
      <c r="X103" s="1">
        <f t="shared" si="34"/>
        <v>107</v>
      </c>
      <c r="Y103" s="1">
        <f t="shared" si="35"/>
        <v>54</v>
      </c>
      <c r="Z103" s="1"/>
      <c r="AA103" s="1">
        <v>11</v>
      </c>
      <c r="AB103" s="1">
        <v>16</v>
      </c>
      <c r="AC103" s="1">
        <v>8</v>
      </c>
      <c r="AD103" s="1">
        <v>10</v>
      </c>
      <c r="AE103" s="1">
        <v>30</v>
      </c>
      <c r="AF103" s="1">
        <f t="shared" si="36"/>
        <v>75</v>
      </c>
      <c r="AG103" s="1">
        <f t="shared" si="37"/>
        <v>38</v>
      </c>
      <c r="AH103" s="1"/>
      <c r="AI103" s="1">
        <v>9</v>
      </c>
      <c r="AJ103" s="1">
        <v>18</v>
      </c>
      <c r="AK103" s="1">
        <v>9</v>
      </c>
      <c r="AL103" s="1">
        <v>17</v>
      </c>
      <c r="AM103" s="1">
        <v>35</v>
      </c>
      <c r="AN103" s="1">
        <f t="shared" si="38"/>
        <v>88</v>
      </c>
      <c r="AO103" s="1">
        <f t="shared" si="39"/>
        <v>44</v>
      </c>
      <c r="AP103" s="1"/>
      <c r="AQ103" s="1">
        <v>6</v>
      </c>
      <c r="AR103" s="1">
        <v>2</v>
      </c>
      <c r="AS103" s="1">
        <v>1</v>
      </c>
      <c r="AT103" s="1">
        <v>12</v>
      </c>
      <c r="AU103" s="1">
        <v>0</v>
      </c>
      <c r="AV103" s="1">
        <v>3.5</v>
      </c>
      <c r="AW103" s="1">
        <v>5</v>
      </c>
      <c r="AX103" s="1">
        <v>10</v>
      </c>
      <c r="AY103" s="1">
        <f t="shared" si="45"/>
        <v>6</v>
      </c>
      <c r="AZ103" s="1">
        <f t="shared" si="46"/>
        <v>6</v>
      </c>
      <c r="BA103" s="1">
        <f t="shared" si="44"/>
        <v>6</v>
      </c>
      <c r="BB103" s="1">
        <v>9</v>
      </c>
      <c r="BC103" s="1">
        <f t="shared" si="47"/>
        <v>22</v>
      </c>
      <c r="BD103" s="1">
        <f t="shared" si="40"/>
        <v>49</v>
      </c>
      <c r="BE103" s="1">
        <f t="shared" si="43"/>
        <v>25</v>
      </c>
      <c r="BF103" s="1">
        <v>10</v>
      </c>
      <c r="BG103" s="1"/>
      <c r="BH103" s="1"/>
      <c r="BI103" s="1"/>
      <c r="BJ103" s="1"/>
      <c r="BK103" s="1"/>
      <c r="BL103" s="1"/>
      <c r="BM103" s="1"/>
      <c r="BN103" s="1"/>
      <c r="BO103" s="1" t="s">
        <v>371</v>
      </c>
      <c r="BP103" s="1" t="s">
        <v>371</v>
      </c>
      <c r="BQ103" s="50">
        <f t="shared" si="27"/>
        <v>10</v>
      </c>
      <c r="BR103" s="45">
        <f t="shared" si="41"/>
        <v>265</v>
      </c>
      <c r="BS103" s="70">
        <f t="shared" si="42"/>
        <v>44.166666666666664</v>
      </c>
      <c r="BT103" s="45" t="str">
        <f t="shared" si="29"/>
        <v>PASS</v>
      </c>
      <c r="BU103" s="1"/>
    </row>
    <row r="104" spans="1:73" x14ac:dyDescent="0.25">
      <c r="A104" s="1">
        <v>99</v>
      </c>
      <c r="B104" s="12" t="s">
        <v>107</v>
      </c>
      <c r="C104" s="1">
        <v>9</v>
      </c>
      <c r="D104" s="1">
        <v>20</v>
      </c>
      <c r="E104" s="1">
        <v>11</v>
      </c>
      <c r="F104" s="1">
        <v>13</v>
      </c>
      <c r="G104" s="1">
        <v>43</v>
      </c>
      <c r="H104" s="1">
        <f t="shared" si="30"/>
        <v>96</v>
      </c>
      <c r="I104" s="1">
        <f t="shared" si="31"/>
        <v>48</v>
      </c>
      <c r="J104" s="1"/>
      <c r="K104" s="1">
        <v>15</v>
      </c>
      <c r="L104" s="1">
        <v>29</v>
      </c>
      <c r="M104" s="1">
        <v>14</v>
      </c>
      <c r="N104" s="1">
        <v>16</v>
      </c>
      <c r="O104" s="1">
        <v>37</v>
      </c>
      <c r="P104" s="1">
        <f t="shared" si="32"/>
        <v>111</v>
      </c>
      <c r="Q104" s="1">
        <f t="shared" si="33"/>
        <v>56</v>
      </c>
      <c r="R104" s="1"/>
      <c r="S104" s="1">
        <v>11</v>
      </c>
      <c r="T104" s="1">
        <v>31</v>
      </c>
      <c r="U104" s="1">
        <v>17</v>
      </c>
      <c r="V104" s="1">
        <v>19</v>
      </c>
      <c r="W104" s="1">
        <v>41</v>
      </c>
      <c r="X104" s="1">
        <f t="shared" si="34"/>
        <v>119</v>
      </c>
      <c r="Y104" s="1">
        <f t="shared" si="35"/>
        <v>60</v>
      </c>
      <c r="Z104" s="1"/>
      <c r="AA104" s="1">
        <v>13</v>
      </c>
      <c r="AB104" s="1">
        <v>25</v>
      </c>
      <c r="AC104" s="1">
        <v>17</v>
      </c>
      <c r="AD104" s="1">
        <v>14</v>
      </c>
      <c r="AE104" s="1">
        <v>41</v>
      </c>
      <c r="AF104" s="1">
        <f t="shared" si="36"/>
        <v>110</v>
      </c>
      <c r="AG104" s="1">
        <f t="shared" si="37"/>
        <v>55</v>
      </c>
      <c r="AH104" s="1"/>
      <c r="AI104" s="1">
        <v>15</v>
      </c>
      <c r="AJ104" s="1">
        <v>32</v>
      </c>
      <c r="AK104" s="1">
        <v>18</v>
      </c>
      <c r="AL104" s="1">
        <v>14</v>
      </c>
      <c r="AM104" s="1">
        <v>44</v>
      </c>
      <c r="AN104" s="1">
        <f t="shared" si="38"/>
        <v>123</v>
      </c>
      <c r="AO104" s="1">
        <f t="shared" si="39"/>
        <v>62</v>
      </c>
      <c r="AP104" s="1"/>
      <c r="AQ104" s="1">
        <v>10</v>
      </c>
      <c r="AR104" s="1">
        <v>10.5</v>
      </c>
      <c r="AS104" s="1">
        <v>3</v>
      </c>
      <c r="AT104" s="1">
        <v>26</v>
      </c>
      <c r="AU104" s="1">
        <v>1</v>
      </c>
      <c r="AV104" s="1">
        <v>13.5</v>
      </c>
      <c r="AW104" s="1">
        <v>6</v>
      </c>
      <c r="AX104" s="1">
        <v>15</v>
      </c>
      <c r="AY104" s="1">
        <f t="shared" si="45"/>
        <v>11</v>
      </c>
      <c r="AZ104" s="1">
        <f t="shared" si="46"/>
        <v>24</v>
      </c>
      <c r="BA104" s="1">
        <f t="shared" si="44"/>
        <v>9</v>
      </c>
      <c r="BB104" s="1">
        <v>11</v>
      </c>
      <c r="BC104" s="1">
        <f t="shared" si="47"/>
        <v>41</v>
      </c>
      <c r="BD104" s="1">
        <f t="shared" si="40"/>
        <v>96</v>
      </c>
      <c r="BE104" s="1">
        <f t="shared" si="43"/>
        <v>48</v>
      </c>
      <c r="BF104" s="1"/>
      <c r="BG104" s="1"/>
      <c r="BH104" s="1"/>
      <c r="BI104" s="1"/>
      <c r="BJ104" s="1"/>
      <c r="BK104" s="1"/>
      <c r="BL104" s="1"/>
      <c r="BM104" s="1"/>
      <c r="BN104" s="1"/>
      <c r="BO104" s="1" t="s">
        <v>371</v>
      </c>
      <c r="BP104" s="1" t="s">
        <v>371</v>
      </c>
      <c r="BQ104" s="50">
        <f t="shared" si="27"/>
        <v>0</v>
      </c>
      <c r="BR104" s="45">
        <f t="shared" si="41"/>
        <v>329</v>
      </c>
      <c r="BS104" s="70">
        <f t="shared" si="42"/>
        <v>54.833333333333336</v>
      </c>
      <c r="BT104" s="45" t="str">
        <f t="shared" si="29"/>
        <v>GRADE II</v>
      </c>
      <c r="BU104" s="1"/>
    </row>
    <row r="105" spans="1:73" x14ac:dyDescent="0.25">
      <c r="A105" s="1">
        <v>100</v>
      </c>
      <c r="B105" s="12" t="s">
        <v>108</v>
      </c>
      <c r="C105" s="1">
        <v>12</v>
      </c>
      <c r="D105" s="1">
        <v>15</v>
      </c>
      <c r="E105" s="1">
        <v>12</v>
      </c>
      <c r="F105" s="1">
        <v>12</v>
      </c>
      <c r="G105" s="1">
        <v>40</v>
      </c>
      <c r="H105" s="1">
        <f t="shared" si="30"/>
        <v>91</v>
      </c>
      <c r="I105" s="1">
        <f t="shared" si="31"/>
        <v>46</v>
      </c>
      <c r="J105" s="1"/>
      <c r="K105" s="1">
        <v>10</v>
      </c>
      <c r="L105" s="1">
        <v>21</v>
      </c>
      <c r="M105" s="1">
        <v>13</v>
      </c>
      <c r="N105" s="1">
        <v>14</v>
      </c>
      <c r="O105" s="1">
        <v>35</v>
      </c>
      <c r="P105" s="1">
        <f t="shared" si="32"/>
        <v>93</v>
      </c>
      <c r="Q105" s="1">
        <f t="shared" si="33"/>
        <v>47</v>
      </c>
      <c r="R105" s="1"/>
      <c r="S105" s="1">
        <v>20</v>
      </c>
      <c r="T105" s="1">
        <v>37</v>
      </c>
      <c r="U105" s="1">
        <v>17</v>
      </c>
      <c r="V105" s="1">
        <v>20</v>
      </c>
      <c r="W105" s="1">
        <v>55</v>
      </c>
      <c r="X105" s="1">
        <f t="shared" si="34"/>
        <v>149</v>
      </c>
      <c r="Y105" s="1">
        <f t="shared" si="35"/>
        <v>75</v>
      </c>
      <c r="Z105" s="1"/>
      <c r="AA105" s="1">
        <v>14</v>
      </c>
      <c r="AB105" s="1">
        <v>27</v>
      </c>
      <c r="AC105" s="1">
        <v>12</v>
      </c>
      <c r="AD105" s="1">
        <v>16</v>
      </c>
      <c r="AE105" s="1">
        <v>42</v>
      </c>
      <c r="AF105" s="1">
        <f t="shared" si="36"/>
        <v>111</v>
      </c>
      <c r="AG105" s="1">
        <f t="shared" si="37"/>
        <v>56</v>
      </c>
      <c r="AH105" s="1"/>
      <c r="AI105" s="1">
        <v>22</v>
      </c>
      <c r="AJ105" s="13">
        <v>36</v>
      </c>
      <c r="AK105" s="13">
        <v>18</v>
      </c>
      <c r="AL105" s="13">
        <v>19</v>
      </c>
      <c r="AM105" s="13">
        <v>61</v>
      </c>
      <c r="AN105" s="1">
        <f t="shared" si="38"/>
        <v>156</v>
      </c>
      <c r="AO105" s="1">
        <f t="shared" si="39"/>
        <v>78</v>
      </c>
      <c r="AP105" s="13"/>
      <c r="AQ105" s="1">
        <v>11</v>
      </c>
      <c r="AR105" s="1">
        <v>20.5</v>
      </c>
      <c r="AS105" s="1">
        <v>4</v>
      </c>
      <c r="AT105" s="1">
        <v>21</v>
      </c>
      <c r="AU105" s="1">
        <v>2.5</v>
      </c>
      <c r="AV105" s="1">
        <v>6</v>
      </c>
      <c r="AW105" s="1">
        <v>2</v>
      </c>
      <c r="AX105" s="1">
        <v>12</v>
      </c>
      <c r="AY105" s="1">
        <f t="shared" si="45"/>
        <v>14</v>
      </c>
      <c r="AZ105" s="1">
        <f t="shared" si="46"/>
        <v>27</v>
      </c>
      <c r="BA105" s="1">
        <f t="shared" si="44"/>
        <v>6</v>
      </c>
      <c r="BB105" s="1">
        <v>14</v>
      </c>
      <c r="BC105" s="1">
        <f t="shared" si="47"/>
        <v>33</v>
      </c>
      <c r="BD105" s="1">
        <f t="shared" si="40"/>
        <v>94</v>
      </c>
      <c r="BE105" s="1">
        <f t="shared" si="43"/>
        <v>47</v>
      </c>
      <c r="BF105" s="1"/>
      <c r="BG105" s="1"/>
      <c r="BH105" s="1"/>
      <c r="BI105" s="1"/>
      <c r="BJ105" s="1"/>
      <c r="BK105" s="1"/>
      <c r="BL105" s="1"/>
      <c r="BM105" s="1"/>
      <c r="BN105" s="1"/>
      <c r="BO105" s="1" t="s">
        <v>371</v>
      </c>
      <c r="BP105" s="1" t="s">
        <v>371</v>
      </c>
      <c r="BQ105" s="50">
        <f t="shared" si="27"/>
        <v>0</v>
      </c>
      <c r="BR105" s="45">
        <f t="shared" si="41"/>
        <v>349</v>
      </c>
      <c r="BS105" s="70">
        <f t="shared" si="42"/>
        <v>58.166666666666664</v>
      </c>
      <c r="BT105" s="45" t="str">
        <f t="shared" si="29"/>
        <v>GRADE II</v>
      </c>
      <c r="BU105" s="1"/>
    </row>
    <row r="106" spans="1:73" x14ac:dyDescent="0.25">
      <c r="A106" s="1">
        <v>101</v>
      </c>
      <c r="B106" s="12" t="s">
        <v>109</v>
      </c>
      <c r="C106" s="1">
        <v>11</v>
      </c>
      <c r="D106" s="1">
        <v>21</v>
      </c>
      <c r="E106" s="1">
        <v>17</v>
      </c>
      <c r="F106" s="1">
        <v>16</v>
      </c>
      <c r="G106" s="1">
        <v>49</v>
      </c>
      <c r="H106" s="1">
        <f t="shared" si="30"/>
        <v>114</v>
      </c>
      <c r="I106" s="1">
        <f t="shared" si="31"/>
        <v>57</v>
      </c>
      <c r="J106" s="1"/>
      <c r="K106" s="1">
        <v>10</v>
      </c>
      <c r="L106" s="1">
        <v>26</v>
      </c>
      <c r="M106" s="1">
        <v>14</v>
      </c>
      <c r="N106" s="1">
        <v>14</v>
      </c>
      <c r="O106" s="1">
        <v>44</v>
      </c>
      <c r="P106" s="1">
        <f t="shared" si="32"/>
        <v>108</v>
      </c>
      <c r="Q106" s="1">
        <f t="shared" si="33"/>
        <v>54</v>
      </c>
      <c r="R106" s="1"/>
      <c r="S106" s="1">
        <v>17</v>
      </c>
      <c r="T106" s="1">
        <v>31</v>
      </c>
      <c r="U106" s="1">
        <v>12</v>
      </c>
      <c r="V106" s="1">
        <v>19</v>
      </c>
      <c r="W106" s="1">
        <v>55</v>
      </c>
      <c r="X106" s="1">
        <f t="shared" si="34"/>
        <v>134</v>
      </c>
      <c r="Y106" s="1">
        <f t="shared" si="35"/>
        <v>67</v>
      </c>
      <c r="Z106" s="1"/>
      <c r="AA106" s="1">
        <v>12</v>
      </c>
      <c r="AB106" s="1">
        <v>12</v>
      </c>
      <c r="AC106" s="1">
        <v>17</v>
      </c>
      <c r="AD106" s="1">
        <v>11</v>
      </c>
      <c r="AE106" s="1">
        <v>23</v>
      </c>
      <c r="AF106" s="1">
        <f t="shared" si="36"/>
        <v>75</v>
      </c>
      <c r="AG106" s="1">
        <f t="shared" si="37"/>
        <v>38</v>
      </c>
      <c r="AH106" s="1"/>
      <c r="AI106" s="1">
        <v>11</v>
      </c>
      <c r="AJ106" s="1">
        <v>28</v>
      </c>
      <c r="AK106" s="1">
        <v>9</v>
      </c>
      <c r="AL106" s="1">
        <v>19</v>
      </c>
      <c r="AM106" s="1">
        <v>45</v>
      </c>
      <c r="AN106" s="1">
        <f t="shared" si="38"/>
        <v>112</v>
      </c>
      <c r="AO106" s="1">
        <f t="shared" si="39"/>
        <v>56</v>
      </c>
      <c r="AP106" s="1"/>
      <c r="AQ106" s="1">
        <v>10</v>
      </c>
      <c r="AR106" s="1">
        <v>8.5</v>
      </c>
      <c r="AS106" s="1">
        <v>2.5</v>
      </c>
      <c r="AT106" s="1">
        <v>16</v>
      </c>
      <c r="AU106" s="1">
        <v>8</v>
      </c>
      <c r="AV106" s="1">
        <v>7.5</v>
      </c>
      <c r="AW106" s="1">
        <v>5.5</v>
      </c>
      <c r="AX106" s="1">
        <v>12</v>
      </c>
      <c r="AY106" s="1">
        <f t="shared" si="45"/>
        <v>18</v>
      </c>
      <c r="AZ106" s="1">
        <f t="shared" si="46"/>
        <v>16</v>
      </c>
      <c r="BA106" s="1">
        <f t="shared" si="44"/>
        <v>8</v>
      </c>
      <c r="BB106" s="1">
        <v>12</v>
      </c>
      <c r="BC106" s="1">
        <f t="shared" si="47"/>
        <v>28</v>
      </c>
      <c r="BD106" s="1">
        <f t="shared" si="40"/>
        <v>82</v>
      </c>
      <c r="BE106" s="1">
        <f t="shared" si="43"/>
        <v>41</v>
      </c>
      <c r="BF106" s="1"/>
      <c r="BG106" s="1"/>
      <c r="BH106" s="1"/>
      <c r="BI106" s="1"/>
      <c r="BJ106" s="1"/>
      <c r="BK106" s="1"/>
      <c r="BL106" s="1"/>
      <c r="BM106" s="1"/>
      <c r="BN106" s="1"/>
      <c r="BO106" s="1" t="s">
        <v>371</v>
      </c>
      <c r="BP106" s="1" t="s">
        <v>371</v>
      </c>
      <c r="BQ106" s="50">
        <f t="shared" si="27"/>
        <v>0</v>
      </c>
      <c r="BR106" s="45">
        <f t="shared" si="41"/>
        <v>313</v>
      </c>
      <c r="BS106" s="70">
        <f t="shared" si="42"/>
        <v>52.166666666666664</v>
      </c>
      <c r="BT106" s="45" t="str">
        <f t="shared" si="29"/>
        <v>GRADE II</v>
      </c>
      <c r="BU106" s="1"/>
    </row>
    <row r="107" spans="1:73" x14ac:dyDescent="0.25">
      <c r="A107" s="1">
        <v>102</v>
      </c>
      <c r="B107" s="12" t="s">
        <v>110</v>
      </c>
      <c r="C107" s="1">
        <v>17</v>
      </c>
      <c r="D107" s="1">
        <v>27</v>
      </c>
      <c r="E107" s="1">
        <v>20</v>
      </c>
      <c r="F107" s="1">
        <v>14</v>
      </c>
      <c r="G107" s="1">
        <v>58</v>
      </c>
      <c r="H107" s="1">
        <f t="shared" si="30"/>
        <v>136</v>
      </c>
      <c r="I107" s="1">
        <f t="shared" si="31"/>
        <v>68</v>
      </c>
      <c r="J107" s="1"/>
      <c r="K107" s="1">
        <v>9</v>
      </c>
      <c r="L107" s="1">
        <v>32</v>
      </c>
      <c r="M107" s="1">
        <v>13</v>
      </c>
      <c r="N107" s="1">
        <v>15</v>
      </c>
      <c r="O107" s="1">
        <v>52</v>
      </c>
      <c r="P107" s="1">
        <f t="shared" si="32"/>
        <v>121</v>
      </c>
      <c r="Q107" s="1">
        <f t="shared" si="33"/>
        <v>61</v>
      </c>
      <c r="R107" s="1"/>
      <c r="S107" s="1">
        <v>24</v>
      </c>
      <c r="T107" s="1">
        <v>44</v>
      </c>
      <c r="U107" s="1">
        <v>15</v>
      </c>
      <c r="V107" s="1">
        <v>18</v>
      </c>
      <c r="W107" s="1">
        <v>54</v>
      </c>
      <c r="X107" s="1">
        <f t="shared" si="34"/>
        <v>155</v>
      </c>
      <c r="Y107" s="1">
        <f t="shared" si="35"/>
        <v>78</v>
      </c>
      <c r="Z107" s="1"/>
      <c r="AA107" s="1">
        <v>24</v>
      </c>
      <c r="AB107" s="1">
        <v>28</v>
      </c>
      <c r="AC107" s="1">
        <v>19</v>
      </c>
      <c r="AD107" s="1">
        <v>15</v>
      </c>
      <c r="AE107" s="1">
        <v>51</v>
      </c>
      <c r="AF107" s="1">
        <f t="shared" si="36"/>
        <v>137</v>
      </c>
      <c r="AG107" s="1">
        <f t="shared" si="37"/>
        <v>69</v>
      </c>
      <c r="AH107" s="1"/>
      <c r="AI107" s="1">
        <v>21</v>
      </c>
      <c r="AJ107" s="1">
        <v>36</v>
      </c>
      <c r="AK107" s="1">
        <v>18</v>
      </c>
      <c r="AL107" s="1">
        <v>20</v>
      </c>
      <c r="AM107" s="1">
        <v>68</v>
      </c>
      <c r="AN107" s="1">
        <f t="shared" si="38"/>
        <v>163</v>
      </c>
      <c r="AO107" s="1">
        <f t="shared" si="39"/>
        <v>82</v>
      </c>
      <c r="AP107" s="1"/>
      <c r="AQ107" s="1">
        <v>10</v>
      </c>
      <c r="AR107" s="1">
        <v>7</v>
      </c>
      <c r="AS107" s="1">
        <v>3</v>
      </c>
      <c r="AT107" s="1">
        <v>23</v>
      </c>
      <c r="AU107" s="1">
        <v>9.5</v>
      </c>
      <c r="AV107" s="1">
        <v>19</v>
      </c>
      <c r="AW107" s="1">
        <v>7</v>
      </c>
      <c r="AX107" s="1">
        <v>21</v>
      </c>
      <c r="AY107" s="1">
        <f t="shared" si="45"/>
        <v>20</v>
      </c>
      <c r="AZ107" s="1">
        <f t="shared" si="46"/>
        <v>26</v>
      </c>
      <c r="BA107" s="1">
        <f t="shared" si="44"/>
        <v>10</v>
      </c>
      <c r="BB107" s="1">
        <v>12</v>
      </c>
      <c r="BC107" s="1">
        <f t="shared" si="47"/>
        <v>44</v>
      </c>
      <c r="BD107" s="1">
        <f t="shared" si="40"/>
        <v>112</v>
      </c>
      <c r="BE107" s="1">
        <f t="shared" si="43"/>
        <v>56</v>
      </c>
      <c r="BF107" s="1"/>
      <c r="BG107" s="1"/>
      <c r="BH107" s="1"/>
      <c r="BI107" s="1"/>
      <c r="BJ107" s="1"/>
      <c r="BK107" s="1"/>
      <c r="BL107" s="1"/>
      <c r="BM107" s="1"/>
      <c r="BN107" s="1"/>
      <c r="BO107" s="1" t="s">
        <v>371</v>
      </c>
      <c r="BP107" s="1" t="s">
        <v>371</v>
      </c>
      <c r="BQ107" s="50">
        <f t="shared" si="27"/>
        <v>0</v>
      </c>
      <c r="BR107" s="45">
        <f t="shared" si="41"/>
        <v>414</v>
      </c>
      <c r="BS107" s="70">
        <f t="shared" si="42"/>
        <v>69</v>
      </c>
      <c r="BT107" s="45" t="str">
        <f t="shared" si="29"/>
        <v>GRADE I</v>
      </c>
      <c r="BU107" s="1"/>
    </row>
    <row r="108" spans="1:73" x14ac:dyDescent="0.25">
      <c r="A108" s="1">
        <v>103</v>
      </c>
      <c r="B108" s="12" t="s">
        <v>111</v>
      </c>
      <c r="C108" s="1">
        <v>11</v>
      </c>
      <c r="D108" s="1">
        <v>18</v>
      </c>
      <c r="E108" s="1">
        <v>14</v>
      </c>
      <c r="F108" s="1">
        <v>13</v>
      </c>
      <c r="G108" s="1">
        <v>44</v>
      </c>
      <c r="H108" s="1">
        <f t="shared" si="30"/>
        <v>100</v>
      </c>
      <c r="I108" s="1">
        <f t="shared" si="31"/>
        <v>50</v>
      </c>
      <c r="J108" s="1"/>
      <c r="K108" s="1">
        <v>8</v>
      </c>
      <c r="L108" s="1">
        <v>16</v>
      </c>
      <c r="M108" s="1">
        <v>9</v>
      </c>
      <c r="N108" s="1">
        <v>11</v>
      </c>
      <c r="O108" s="1">
        <v>17</v>
      </c>
      <c r="P108" s="1">
        <f t="shared" si="32"/>
        <v>61</v>
      </c>
      <c r="Q108" s="1">
        <f t="shared" si="33"/>
        <v>31</v>
      </c>
      <c r="R108" s="1">
        <v>4</v>
      </c>
      <c r="S108" s="1">
        <v>21</v>
      </c>
      <c r="T108" s="1">
        <v>36</v>
      </c>
      <c r="U108" s="1">
        <v>19</v>
      </c>
      <c r="V108" s="1">
        <v>16</v>
      </c>
      <c r="W108" s="1">
        <v>49</v>
      </c>
      <c r="X108" s="1">
        <f t="shared" si="34"/>
        <v>141</v>
      </c>
      <c r="Y108" s="1">
        <f t="shared" si="35"/>
        <v>71</v>
      </c>
      <c r="Z108" s="1"/>
      <c r="AA108" s="1">
        <v>19</v>
      </c>
      <c r="AB108" s="1">
        <v>25</v>
      </c>
      <c r="AC108" s="1">
        <v>10</v>
      </c>
      <c r="AD108" s="1">
        <v>13</v>
      </c>
      <c r="AE108" s="1">
        <v>37</v>
      </c>
      <c r="AF108" s="1">
        <f t="shared" si="36"/>
        <v>104</v>
      </c>
      <c r="AG108" s="1">
        <f t="shared" si="37"/>
        <v>52</v>
      </c>
      <c r="AH108" s="1"/>
      <c r="AI108" s="1">
        <v>13</v>
      </c>
      <c r="AJ108" s="1">
        <v>35</v>
      </c>
      <c r="AK108" s="1">
        <v>13</v>
      </c>
      <c r="AL108" s="1">
        <v>17</v>
      </c>
      <c r="AM108" s="1">
        <v>46</v>
      </c>
      <c r="AN108" s="1">
        <f t="shared" si="38"/>
        <v>124</v>
      </c>
      <c r="AO108" s="1">
        <f t="shared" si="39"/>
        <v>62</v>
      </c>
      <c r="AP108" s="1"/>
      <c r="AQ108" s="1">
        <v>9</v>
      </c>
      <c r="AR108" s="1">
        <v>6</v>
      </c>
      <c r="AS108" s="1">
        <v>4</v>
      </c>
      <c r="AT108" s="1">
        <v>15</v>
      </c>
      <c r="AU108" s="1">
        <v>7</v>
      </c>
      <c r="AV108" s="1">
        <v>9</v>
      </c>
      <c r="AW108" s="1">
        <v>5</v>
      </c>
      <c r="AX108" s="1">
        <v>20</v>
      </c>
      <c r="AY108" s="1">
        <f t="shared" si="45"/>
        <v>16</v>
      </c>
      <c r="AZ108" s="1">
        <f t="shared" si="46"/>
        <v>15</v>
      </c>
      <c r="BA108" s="1">
        <f t="shared" si="44"/>
        <v>9</v>
      </c>
      <c r="BB108" s="1">
        <v>9</v>
      </c>
      <c r="BC108" s="1">
        <f t="shared" si="47"/>
        <v>35</v>
      </c>
      <c r="BD108" s="1">
        <f t="shared" si="40"/>
        <v>84</v>
      </c>
      <c r="BE108" s="1">
        <f t="shared" si="43"/>
        <v>42</v>
      </c>
      <c r="BF108" s="1"/>
      <c r="BG108" s="1"/>
      <c r="BH108" s="1"/>
      <c r="BI108" s="1"/>
      <c r="BJ108" s="1"/>
      <c r="BK108" s="1"/>
      <c r="BL108" s="1"/>
      <c r="BM108" s="1"/>
      <c r="BN108" s="1"/>
      <c r="BO108" s="1" t="s">
        <v>371</v>
      </c>
      <c r="BP108" s="1" t="s">
        <v>371</v>
      </c>
      <c r="BQ108" s="50">
        <f t="shared" si="27"/>
        <v>4</v>
      </c>
      <c r="BR108" s="45">
        <f t="shared" si="41"/>
        <v>308</v>
      </c>
      <c r="BS108" s="70">
        <f t="shared" si="42"/>
        <v>51.333333333333336</v>
      </c>
      <c r="BT108" s="45" t="s">
        <v>375</v>
      </c>
      <c r="BU108" s="1"/>
    </row>
    <row r="109" spans="1:73" x14ac:dyDescent="0.25">
      <c r="A109" s="1">
        <v>104</v>
      </c>
      <c r="B109" s="12" t="s">
        <v>112</v>
      </c>
      <c r="C109" s="1">
        <v>7</v>
      </c>
      <c r="D109" s="1">
        <v>17</v>
      </c>
      <c r="E109" s="1">
        <v>12</v>
      </c>
      <c r="F109" s="1">
        <v>16</v>
      </c>
      <c r="G109" s="1">
        <v>39</v>
      </c>
      <c r="H109" s="1">
        <f t="shared" si="30"/>
        <v>91</v>
      </c>
      <c r="I109" s="1">
        <f t="shared" si="31"/>
        <v>46</v>
      </c>
      <c r="J109" s="1"/>
      <c r="K109" s="1">
        <v>7</v>
      </c>
      <c r="L109" s="1">
        <v>18</v>
      </c>
      <c r="M109" s="1">
        <v>10</v>
      </c>
      <c r="N109" s="1">
        <v>12</v>
      </c>
      <c r="O109" s="1">
        <v>23</v>
      </c>
      <c r="P109" s="1">
        <f t="shared" si="32"/>
        <v>70</v>
      </c>
      <c r="Q109" s="1">
        <f t="shared" si="33"/>
        <v>35</v>
      </c>
      <c r="R109" s="1"/>
      <c r="S109" s="1">
        <v>17</v>
      </c>
      <c r="T109" s="1">
        <v>21</v>
      </c>
      <c r="U109" s="1">
        <v>10</v>
      </c>
      <c r="V109" s="1">
        <v>16</v>
      </c>
      <c r="W109" s="1">
        <v>35</v>
      </c>
      <c r="X109" s="1">
        <f t="shared" si="34"/>
        <v>99</v>
      </c>
      <c r="Y109" s="1">
        <f t="shared" si="35"/>
        <v>50</v>
      </c>
      <c r="Z109" s="1"/>
      <c r="AA109" s="1">
        <v>18</v>
      </c>
      <c r="AB109" s="1">
        <v>19</v>
      </c>
      <c r="AC109" s="1">
        <v>9</v>
      </c>
      <c r="AD109" s="1">
        <v>9</v>
      </c>
      <c r="AE109" s="1">
        <v>21</v>
      </c>
      <c r="AF109" s="1">
        <f t="shared" si="36"/>
        <v>76</v>
      </c>
      <c r="AG109" s="1">
        <f t="shared" si="37"/>
        <v>38</v>
      </c>
      <c r="AH109" s="1"/>
      <c r="AI109" s="1">
        <v>11</v>
      </c>
      <c r="AJ109" s="1">
        <v>20</v>
      </c>
      <c r="AK109" s="1">
        <v>9</v>
      </c>
      <c r="AL109" s="1">
        <v>13</v>
      </c>
      <c r="AM109" s="1">
        <v>33</v>
      </c>
      <c r="AN109" s="1">
        <f t="shared" si="38"/>
        <v>86</v>
      </c>
      <c r="AO109" s="1">
        <f t="shared" si="39"/>
        <v>43</v>
      </c>
      <c r="AP109" s="1"/>
      <c r="AQ109" s="1">
        <v>9</v>
      </c>
      <c r="AR109" s="1">
        <v>4</v>
      </c>
      <c r="AS109" s="1">
        <v>5</v>
      </c>
      <c r="AT109" s="1">
        <v>11</v>
      </c>
      <c r="AU109" s="1">
        <v>8</v>
      </c>
      <c r="AV109" s="1">
        <v>2</v>
      </c>
      <c r="AW109" s="1">
        <v>3</v>
      </c>
      <c r="AX109" s="1">
        <v>11</v>
      </c>
      <c r="AY109" s="1">
        <f t="shared" si="45"/>
        <v>17</v>
      </c>
      <c r="AZ109" s="1">
        <f t="shared" si="46"/>
        <v>6</v>
      </c>
      <c r="BA109" s="1">
        <f t="shared" si="44"/>
        <v>8</v>
      </c>
      <c r="BB109" s="1">
        <v>5</v>
      </c>
      <c r="BC109" s="1">
        <f t="shared" si="47"/>
        <v>22</v>
      </c>
      <c r="BD109" s="1">
        <f t="shared" si="40"/>
        <v>58</v>
      </c>
      <c r="BE109" s="1">
        <f t="shared" si="43"/>
        <v>29</v>
      </c>
      <c r="BF109" s="1">
        <v>6</v>
      </c>
      <c r="BG109" s="1"/>
      <c r="BH109" s="1"/>
      <c r="BI109" s="1"/>
      <c r="BJ109" s="1"/>
      <c r="BK109" s="1"/>
      <c r="BL109" s="1"/>
      <c r="BM109" s="1"/>
      <c r="BN109" s="1"/>
      <c r="BO109" s="1" t="s">
        <v>371</v>
      </c>
      <c r="BP109" s="1" t="s">
        <v>371</v>
      </c>
      <c r="BQ109" s="50">
        <f t="shared" si="27"/>
        <v>6</v>
      </c>
      <c r="BR109" s="45">
        <f t="shared" si="41"/>
        <v>241</v>
      </c>
      <c r="BS109" s="70">
        <f t="shared" si="42"/>
        <v>40.166666666666664</v>
      </c>
      <c r="BT109" s="45" t="s">
        <v>375</v>
      </c>
      <c r="BU109" s="1"/>
    </row>
    <row r="110" spans="1:73" x14ac:dyDescent="0.25">
      <c r="A110" s="1">
        <v>105</v>
      </c>
      <c r="B110" s="12" t="s">
        <v>113</v>
      </c>
      <c r="C110" s="1">
        <v>9</v>
      </c>
      <c r="D110" s="1">
        <v>22</v>
      </c>
      <c r="E110" s="1">
        <v>15</v>
      </c>
      <c r="F110" s="1">
        <v>15</v>
      </c>
      <c r="G110" s="1">
        <v>36</v>
      </c>
      <c r="H110" s="1">
        <f t="shared" si="30"/>
        <v>97</v>
      </c>
      <c r="I110" s="1">
        <f t="shared" si="31"/>
        <v>49</v>
      </c>
      <c r="J110" s="1"/>
      <c r="K110" s="1">
        <v>13</v>
      </c>
      <c r="L110" s="1">
        <v>25</v>
      </c>
      <c r="M110" s="1">
        <v>13</v>
      </c>
      <c r="N110" s="1">
        <v>14</v>
      </c>
      <c r="O110" s="1">
        <v>32</v>
      </c>
      <c r="P110" s="1">
        <f t="shared" si="32"/>
        <v>97</v>
      </c>
      <c r="Q110" s="1">
        <f t="shared" si="33"/>
        <v>49</v>
      </c>
      <c r="R110" s="1"/>
      <c r="S110" s="1">
        <v>22</v>
      </c>
      <c r="T110" s="1">
        <v>30</v>
      </c>
      <c r="U110" s="1">
        <v>12</v>
      </c>
      <c r="V110" s="1">
        <v>18</v>
      </c>
      <c r="W110" s="1">
        <v>53</v>
      </c>
      <c r="X110" s="1">
        <f t="shared" si="34"/>
        <v>135</v>
      </c>
      <c r="Y110" s="1">
        <f t="shared" si="35"/>
        <v>68</v>
      </c>
      <c r="Z110" s="1"/>
      <c r="AA110" s="1">
        <v>14</v>
      </c>
      <c r="AB110" s="1">
        <v>15</v>
      </c>
      <c r="AC110" s="1">
        <v>15</v>
      </c>
      <c r="AD110" s="1">
        <v>13</v>
      </c>
      <c r="AE110" s="1">
        <v>19</v>
      </c>
      <c r="AF110" s="1">
        <f t="shared" si="36"/>
        <v>76</v>
      </c>
      <c r="AG110" s="1">
        <f t="shared" si="37"/>
        <v>38</v>
      </c>
      <c r="AH110" s="1"/>
      <c r="AI110" s="1">
        <v>13</v>
      </c>
      <c r="AJ110" s="1">
        <v>34</v>
      </c>
      <c r="AK110" s="1">
        <v>12</v>
      </c>
      <c r="AL110" s="1">
        <v>16</v>
      </c>
      <c r="AM110" s="1">
        <v>36</v>
      </c>
      <c r="AN110" s="1">
        <f t="shared" si="38"/>
        <v>111</v>
      </c>
      <c r="AO110" s="1">
        <f t="shared" si="39"/>
        <v>56</v>
      </c>
      <c r="AP110" s="1"/>
      <c r="AQ110" s="1">
        <v>11</v>
      </c>
      <c r="AR110" s="1">
        <v>9</v>
      </c>
      <c r="AS110" s="1">
        <v>4</v>
      </c>
      <c r="AT110" s="1">
        <v>19</v>
      </c>
      <c r="AU110" s="1">
        <v>3.5</v>
      </c>
      <c r="AV110" s="1">
        <v>9</v>
      </c>
      <c r="AW110" s="1">
        <v>3</v>
      </c>
      <c r="AX110" s="1">
        <v>17</v>
      </c>
      <c r="AY110" s="1">
        <f t="shared" si="45"/>
        <v>15</v>
      </c>
      <c r="AZ110" s="1">
        <f t="shared" si="46"/>
        <v>18</v>
      </c>
      <c r="BA110" s="1">
        <f t="shared" si="44"/>
        <v>7</v>
      </c>
      <c r="BB110" s="1">
        <v>12</v>
      </c>
      <c r="BC110" s="1">
        <f t="shared" si="47"/>
        <v>36</v>
      </c>
      <c r="BD110" s="1">
        <f t="shared" si="40"/>
        <v>88</v>
      </c>
      <c r="BE110" s="1">
        <f t="shared" si="43"/>
        <v>44</v>
      </c>
      <c r="BF110" s="1"/>
      <c r="BG110" s="1"/>
      <c r="BH110" s="1"/>
      <c r="BI110" s="1"/>
      <c r="BJ110" s="1"/>
      <c r="BK110" s="1"/>
      <c r="BL110" s="1"/>
      <c r="BM110" s="1"/>
      <c r="BN110" s="1"/>
      <c r="BO110" s="1" t="s">
        <v>371</v>
      </c>
      <c r="BP110" s="1" t="s">
        <v>372</v>
      </c>
      <c r="BQ110" s="50">
        <f t="shared" si="27"/>
        <v>0</v>
      </c>
      <c r="BR110" s="45">
        <f t="shared" si="41"/>
        <v>304</v>
      </c>
      <c r="BS110" s="70">
        <f t="shared" si="42"/>
        <v>50.666666666666664</v>
      </c>
      <c r="BT110" s="45" t="str">
        <f t="shared" si="29"/>
        <v>GRADE II</v>
      </c>
      <c r="BU110" s="1"/>
    </row>
    <row r="111" spans="1:73" x14ac:dyDescent="0.25">
      <c r="A111" s="1">
        <v>106</v>
      </c>
      <c r="B111" s="12" t="s">
        <v>114</v>
      </c>
      <c r="C111" s="1">
        <v>9</v>
      </c>
      <c r="D111" s="1">
        <v>9</v>
      </c>
      <c r="E111" s="1">
        <v>9</v>
      </c>
      <c r="F111" s="1">
        <v>15</v>
      </c>
      <c r="G111" s="1">
        <v>34</v>
      </c>
      <c r="H111" s="1">
        <f t="shared" si="30"/>
        <v>76</v>
      </c>
      <c r="I111" s="1">
        <f t="shared" si="31"/>
        <v>38</v>
      </c>
      <c r="J111" s="1"/>
      <c r="K111" s="1">
        <v>12</v>
      </c>
      <c r="L111" s="1">
        <v>22</v>
      </c>
      <c r="M111" s="1">
        <v>10</v>
      </c>
      <c r="N111" s="1">
        <v>15</v>
      </c>
      <c r="O111" s="1">
        <v>37</v>
      </c>
      <c r="P111" s="1">
        <f t="shared" si="32"/>
        <v>96</v>
      </c>
      <c r="Q111" s="1">
        <f t="shared" si="33"/>
        <v>48</v>
      </c>
      <c r="R111" s="1"/>
      <c r="S111" s="1">
        <v>15</v>
      </c>
      <c r="T111" s="1">
        <v>22</v>
      </c>
      <c r="U111" s="1">
        <v>10</v>
      </c>
      <c r="V111" s="1">
        <v>17</v>
      </c>
      <c r="W111" s="1">
        <v>25</v>
      </c>
      <c r="X111" s="1">
        <f t="shared" si="34"/>
        <v>89</v>
      </c>
      <c r="Y111" s="1">
        <f t="shared" si="35"/>
        <v>45</v>
      </c>
      <c r="Z111" s="1"/>
      <c r="AA111" s="1">
        <v>8</v>
      </c>
      <c r="AB111" s="1">
        <v>11</v>
      </c>
      <c r="AC111" s="1">
        <v>10</v>
      </c>
      <c r="AD111" s="1">
        <v>10</v>
      </c>
      <c r="AE111" s="1">
        <v>27</v>
      </c>
      <c r="AF111" s="1">
        <f t="shared" si="36"/>
        <v>66</v>
      </c>
      <c r="AG111" s="1">
        <f t="shared" si="37"/>
        <v>33</v>
      </c>
      <c r="AH111" s="1">
        <v>2</v>
      </c>
      <c r="AI111" s="1">
        <v>9</v>
      </c>
      <c r="AJ111" s="1">
        <v>18</v>
      </c>
      <c r="AK111" s="1">
        <v>7</v>
      </c>
      <c r="AL111" s="1">
        <v>15</v>
      </c>
      <c r="AM111" s="1">
        <v>34</v>
      </c>
      <c r="AN111" s="1">
        <f t="shared" si="38"/>
        <v>83</v>
      </c>
      <c r="AO111" s="1">
        <f t="shared" si="39"/>
        <v>42</v>
      </c>
      <c r="AP111" s="1"/>
      <c r="AQ111" s="1">
        <v>2</v>
      </c>
      <c r="AR111" s="1">
        <v>17</v>
      </c>
      <c r="AS111" s="1">
        <v>4</v>
      </c>
      <c r="AT111" s="1">
        <v>16</v>
      </c>
      <c r="AU111" s="1">
        <v>0</v>
      </c>
      <c r="AV111" s="1">
        <v>7</v>
      </c>
      <c r="AW111" s="1">
        <v>3</v>
      </c>
      <c r="AX111" s="1">
        <v>11</v>
      </c>
      <c r="AY111" s="1">
        <f t="shared" si="45"/>
        <v>2</v>
      </c>
      <c r="AZ111" s="1">
        <f t="shared" si="46"/>
        <v>24</v>
      </c>
      <c r="BA111" s="1">
        <f t="shared" si="44"/>
        <v>7</v>
      </c>
      <c r="BB111" s="1">
        <v>7</v>
      </c>
      <c r="BC111" s="1">
        <f t="shared" si="47"/>
        <v>27</v>
      </c>
      <c r="BD111" s="1">
        <f t="shared" si="40"/>
        <v>67</v>
      </c>
      <c r="BE111" s="1">
        <f t="shared" si="43"/>
        <v>34</v>
      </c>
      <c r="BF111" s="1">
        <v>1</v>
      </c>
      <c r="BG111" s="1"/>
      <c r="BH111" s="1"/>
      <c r="BI111" s="1"/>
      <c r="BJ111" s="1"/>
      <c r="BK111" s="1"/>
      <c r="BL111" s="1"/>
      <c r="BM111" s="1"/>
      <c r="BN111" s="1"/>
      <c r="BO111" s="1" t="s">
        <v>371</v>
      </c>
      <c r="BP111" s="1" t="s">
        <v>371</v>
      </c>
      <c r="BQ111" s="50">
        <f t="shared" si="27"/>
        <v>3</v>
      </c>
      <c r="BR111" s="45">
        <f t="shared" si="41"/>
        <v>240</v>
      </c>
      <c r="BS111" s="70">
        <f t="shared" si="42"/>
        <v>40</v>
      </c>
      <c r="BT111" s="45" t="s">
        <v>375</v>
      </c>
      <c r="BU111" s="1"/>
    </row>
    <row r="112" spans="1:73" x14ac:dyDescent="0.25">
      <c r="A112" s="1">
        <v>107</v>
      </c>
      <c r="B112" s="12" t="s">
        <v>115</v>
      </c>
      <c r="C112" s="1">
        <v>12</v>
      </c>
      <c r="D112" s="1">
        <v>12</v>
      </c>
      <c r="E112" s="1">
        <v>14</v>
      </c>
      <c r="F112" s="1">
        <v>16</v>
      </c>
      <c r="G112" s="1">
        <v>38</v>
      </c>
      <c r="H112" s="1">
        <f t="shared" si="30"/>
        <v>92</v>
      </c>
      <c r="I112" s="1">
        <f t="shared" si="31"/>
        <v>46</v>
      </c>
      <c r="J112" s="1"/>
      <c r="K112" s="1">
        <v>10</v>
      </c>
      <c r="L112" s="1">
        <v>23</v>
      </c>
      <c r="M112" s="1">
        <v>12</v>
      </c>
      <c r="N112" s="1">
        <v>10</v>
      </c>
      <c r="O112" s="1">
        <v>36</v>
      </c>
      <c r="P112" s="1">
        <f t="shared" si="32"/>
        <v>91</v>
      </c>
      <c r="Q112" s="1">
        <f t="shared" si="33"/>
        <v>46</v>
      </c>
      <c r="R112" s="1"/>
      <c r="S112" s="1">
        <v>16</v>
      </c>
      <c r="T112" s="1">
        <v>24</v>
      </c>
      <c r="U112" s="1">
        <v>10</v>
      </c>
      <c r="V112" s="1">
        <v>15</v>
      </c>
      <c r="W112" s="1">
        <v>42</v>
      </c>
      <c r="X112" s="1">
        <f t="shared" si="34"/>
        <v>107</v>
      </c>
      <c r="Y112" s="1">
        <f t="shared" si="35"/>
        <v>54</v>
      </c>
      <c r="Z112" s="1"/>
      <c r="AA112" s="1">
        <v>23</v>
      </c>
      <c r="AB112" s="1">
        <v>33</v>
      </c>
      <c r="AC112" s="1">
        <v>17</v>
      </c>
      <c r="AD112" s="1">
        <v>8</v>
      </c>
      <c r="AE112" s="1">
        <v>35</v>
      </c>
      <c r="AF112" s="1">
        <f t="shared" si="36"/>
        <v>116</v>
      </c>
      <c r="AG112" s="1">
        <f t="shared" si="37"/>
        <v>58</v>
      </c>
      <c r="AH112" s="1"/>
      <c r="AI112" s="1">
        <v>11</v>
      </c>
      <c r="AJ112" s="1">
        <v>36</v>
      </c>
      <c r="AK112" s="1">
        <v>9</v>
      </c>
      <c r="AL112" s="1">
        <v>19</v>
      </c>
      <c r="AM112" s="1">
        <v>52</v>
      </c>
      <c r="AN112" s="1">
        <f t="shared" si="38"/>
        <v>127</v>
      </c>
      <c r="AO112" s="1">
        <f t="shared" si="39"/>
        <v>64</v>
      </c>
      <c r="AP112" s="1"/>
      <c r="AQ112" s="1">
        <v>10</v>
      </c>
      <c r="AR112" s="1">
        <v>6</v>
      </c>
      <c r="AS112" s="1">
        <v>3</v>
      </c>
      <c r="AT112" s="1">
        <v>8</v>
      </c>
      <c r="AU112" s="1">
        <v>5</v>
      </c>
      <c r="AV112" s="1">
        <v>8.5</v>
      </c>
      <c r="AW112" s="1">
        <v>5</v>
      </c>
      <c r="AX112" s="1">
        <v>18</v>
      </c>
      <c r="AY112" s="1">
        <f t="shared" si="45"/>
        <v>15</v>
      </c>
      <c r="AZ112" s="1">
        <f t="shared" si="46"/>
        <v>15</v>
      </c>
      <c r="BA112" s="1">
        <f t="shared" si="44"/>
        <v>8</v>
      </c>
      <c r="BB112" s="1">
        <v>13</v>
      </c>
      <c r="BC112" s="1">
        <f t="shared" si="47"/>
        <v>26</v>
      </c>
      <c r="BD112" s="1">
        <f t="shared" si="40"/>
        <v>77</v>
      </c>
      <c r="BE112" s="1">
        <f t="shared" si="43"/>
        <v>39</v>
      </c>
      <c r="BF112" s="1"/>
      <c r="BG112" s="1"/>
      <c r="BH112" s="1"/>
      <c r="BI112" s="1"/>
      <c r="BJ112" s="1"/>
      <c r="BK112" s="1"/>
      <c r="BL112" s="1"/>
      <c r="BM112" s="1"/>
      <c r="BN112" s="1"/>
      <c r="BO112" s="1" t="s">
        <v>371</v>
      </c>
      <c r="BP112" s="1" t="s">
        <v>372</v>
      </c>
      <c r="BQ112" s="50">
        <f t="shared" si="27"/>
        <v>0</v>
      </c>
      <c r="BR112" s="45">
        <f t="shared" si="41"/>
        <v>307</v>
      </c>
      <c r="BS112" s="70">
        <f t="shared" si="42"/>
        <v>51.166666666666664</v>
      </c>
      <c r="BT112" s="45" t="str">
        <f t="shared" si="29"/>
        <v>GRADE II</v>
      </c>
      <c r="BU112" s="1"/>
    </row>
    <row r="113" spans="1:73" x14ac:dyDescent="0.25">
      <c r="A113" s="1">
        <v>108</v>
      </c>
      <c r="B113" s="12" t="s">
        <v>116</v>
      </c>
      <c r="C113" s="1">
        <v>11</v>
      </c>
      <c r="D113" s="1">
        <v>28</v>
      </c>
      <c r="E113" s="1">
        <v>18</v>
      </c>
      <c r="F113" s="1">
        <v>14</v>
      </c>
      <c r="G113" s="1">
        <v>48</v>
      </c>
      <c r="H113" s="1">
        <f t="shared" si="30"/>
        <v>119</v>
      </c>
      <c r="I113" s="1">
        <f t="shared" si="31"/>
        <v>60</v>
      </c>
      <c r="J113" s="1"/>
      <c r="K113" s="1">
        <v>12</v>
      </c>
      <c r="L113" s="1">
        <v>30</v>
      </c>
      <c r="M113" s="1">
        <v>15</v>
      </c>
      <c r="N113" s="1">
        <v>15</v>
      </c>
      <c r="O113" s="1">
        <v>44</v>
      </c>
      <c r="P113" s="1">
        <f t="shared" si="32"/>
        <v>116</v>
      </c>
      <c r="Q113" s="1">
        <f t="shared" si="33"/>
        <v>58</v>
      </c>
      <c r="R113" s="1"/>
      <c r="S113" s="1">
        <v>24</v>
      </c>
      <c r="T113" s="1">
        <v>41</v>
      </c>
      <c r="U113" s="1">
        <v>19</v>
      </c>
      <c r="V113" s="1">
        <v>16</v>
      </c>
      <c r="W113" s="1">
        <v>68</v>
      </c>
      <c r="X113" s="1">
        <f t="shared" si="34"/>
        <v>168</v>
      </c>
      <c r="Y113" s="1">
        <f t="shared" si="35"/>
        <v>84</v>
      </c>
      <c r="Z113" s="1"/>
      <c r="AA113" s="1">
        <v>24</v>
      </c>
      <c r="AB113" s="1">
        <v>31</v>
      </c>
      <c r="AC113" s="1">
        <v>18</v>
      </c>
      <c r="AD113" s="1">
        <v>16</v>
      </c>
      <c r="AE113" s="1">
        <v>56</v>
      </c>
      <c r="AF113" s="1">
        <f t="shared" si="36"/>
        <v>145</v>
      </c>
      <c r="AG113" s="1">
        <f t="shared" si="37"/>
        <v>73</v>
      </c>
      <c r="AH113" s="1"/>
      <c r="AI113" s="1">
        <v>25</v>
      </c>
      <c r="AJ113" s="1">
        <v>48</v>
      </c>
      <c r="AK113" s="1">
        <v>16</v>
      </c>
      <c r="AL113" s="1">
        <v>20</v>
      </c>
      <c r="AM113" s="1">
        <v>67</v>
      </c>
      <c r="AN113" s="1">
        <f t="shared" si="38"/>
        <v>176</v>
      </c>
      <c r="AO113" s="1">
        <f t="shared" si="39"/>
        <v>88</v>
      </c>
      <c r="AP113" s="1"/>
      <c r="AQ113" s="1">
        <v>11</v>
      </c>
      <c r="AR113" s="1">
        <v>17</v>
      </c>
      <c r="AS113" s="1">
        <v>4</v>
      </c>
      <c r="AT113" s="1">
        <v>19</v>
      </c>
      <c r="AU113" s="1">
        <v>6</v>
      </c>
      <c r="AV113" s="1">
        <v>15.5</v>
      </c>
      <c r="AW113" s="1">
        <v>5</v>
      </c>
      <c r="AX113" s="1">
        <v>19</v>
      </c>
      <c r="AY113" s="1">
        <f t="shared" si="45"/>
        <v>17</v>
      </c>
      <c r="AZ113" s="1">
        <f t="shared" si="46"/>
        <v>33</v>
      </c>
      <c r="BA113" s="1">
        <f t="shared" si="44"/>
        <v>9</v>
      </c>
      <c r="BB113" s="1">
        <v>15</v>
      </c>
      <c r="BC113" s="1">
        <f t="shared" si="47"/>
        <v>38</v>
      </c>
      <c r="BD113" s="1">
        <f t="shared" si="40"/>
        <v>112</v>
      </c>
      <c r="BE113" s="1">
        <f t="shared" si="43"/>
        <v>56</v>
      </c>
      <c r="BF113" s="1"/>
      <c r="BG113" s="1"/>
      <c r="BH113" s="1"/>
      <c r="BI113" s="1"/>
      <c r="BJ113" s="1"/>
      <c r="BK113" s="1"/>
      <c r="BL113" s="1"/>
      <c r="BM113" s="1"/>
      <c r="BN113" s="1"/>
      <c r="BO113" s="1" t="s">
        <v>371</v>
      </c>
      <c r="BP113" s="1" t="s">
        <v>371</v>
      </c>
      <c r="BQ113" s="50">
        <f t="shared" si="27"/>
        <v>0</v>
      </c>
      <c r="BR113" s="45">
        <f t="shared" si="41"/>
        <v>419</v>
      </c>
      <c r="BS113" s="70">
        <f t="shared" si="42"/>
        <v>69.833333333333329</v>
      </c>
      <c r="BT113" s="45" t="str">
        <f t="shared" si="29"/>
        <v>GRADE I</v>
      </c>
      <c r="BU113" s="1"/>
    </row>
    <row r="114" spans="1:73" x14ac:dyDescent="0.25">
      <c r="A114" s="1">
        <v>109</v>
      </c>
      <c r="B114" s="12" t="s">
        <v>117</v>
      </c>
      <c r="C114" s="1">
        <v>3</v>
      </c>
      <c r="D114" s="1">
        <v>14</v>
      </c>
      <c r="E114" s="1">
        <v>11</v>
      </c>
      <c r="F114" s="1">
        <v>12</v>
      </c>
      <c r="G114" s="1">
        <v>31</v>
      </c>
      <c r="H114" s="1">
        <f t="shared" si="30"/>
        <v>71</v>
      </c>
      <c r="I114" s="1">
        <f t="shared" si="31"/>
        <v>36</v>
      </c>
      <c r="J114" s="1"/>
      <c r="K114" s="1">
        <v>7</v>
      </c>
      <c r="L114" s="1">
        <v>22</v>
      </c>
      <c r="M114" s="1">
        <v>9</v>
      </c>
      <c r="N114" s="1">
        <v>17</v>
      </c>
      <c r="O114" s="1">
        <v>31</v>
      </c>
      <c r="P114" s="1">
        <f t="shared" si="32"/>
        <v>86</v>
      </c>
      <c r="Q114" s="1">
        <f t="shared" si="33"/>
        <v>43</v>
      </c>
      <c r="R114" s="1"/>
      <c r="S114" s="1">
        <v>8</v>
      </c>
      <c r="T114" s="1">
        <v>29</v>
      </c>
      <c r="U114" s="1">
        <v>13</v>
      </c>
      <c r="V114" s="1">
        <v>16</v>
      </c>
      <c r="W114" s="1">
        <v>42</v>
      </c>
      <c r="X114" s="1">
        <f t="shared" si="34"/>
        <v>108</v>
      </c>
      <c r="Y114" s="1">
        <f t="shared" si="35"/>
        <v>54</v>
      </c>
      <c r="Z114" s="1"/>
      <c r="AA114" s="1">
        <v>13</v>
      </c>
      <c r="AB114" s="1">
        <v>13</v>
      </c>
      <c r="AC114" s="1">
        <v>15</v>
      </c>
      <c r="AD114" s="1">
        <v>13</v>
      </c>
      <c r="AE114" s="1">
        <v>41</v>
      </c>
      <c r="AF114" s="1">
        <f t="shared" si="36"/>
        <v>95</v>
      </c>
      <c r="AG114" s="1">
        <f t="shared" si="37"/>
        <v>48</v>
      </c>
      <c r="AH114" s="1"/>
      <c r="AI114" s="1">
        <v>9</v>
      </c>
      <c r="AJ114" s="1">
        <v>14</v>
      </c>
      <c r="AK114" s="1">
        <v>6</v>
      </c>
      <c r="AL114" s="1">
        <v>16</v>
      </c>
      <c r="AM114" s="1">
        <v>40</v>
      </c>
      <c r="AN114" s="1">
        <f t="shared" si="38"/>
        <v>85</v>
      </c>
      <c r="AO114" s="1">
        <f t="shared" si="39"/>
        <v>43</v>
      </c>
      <c r="AP114" s="1"/>
      <c r="AQ114" s="1">
        <v>6</v>
      </c>
      <c r="AR114" s="1">
        <v>16</v>
      </c>
      <c r="AS114" s="1">
        <v>4</v>
      </c>
      <c r="AT114" s="1">
        <v>14</v>
      </c>
      <c r="AU114" s="1">
        <v>4</v>
      </c>
      <c r="AV114" s="1">
        <v>4.5</v>
      </c>
      <c r="AW114" s="1">
        <v>3</v>
      </c>
      <c r="AX114" s="1">
        <v>16</v>
      </c>
      <c r="AY114" s="1">
        <f t="shared" si="45"/>
        <v>10</v>
      </c>
      <c r="AZ114" s="1">
        <f t="shared" si="46"/>
        <v>21</v>
      </c>
      <c r="BA114" s="1">
        <f t="shared" si="44"/>
        <v>7</v>
      </c>
      <c r="BB114" s="1">
        <v>10</v>
      </c>
      <c r="BC114" s="1">
        <f t="shared" si="47"/>
        <v>30</v>
      </c>
      <c r="BD114" s="1">
        <f t="shared" si="40"/>
        <v>78</v>
      </c>
      <c r="BE114" s="1">
        <f t="shared" si="43"/>
        <v>39</v>
      </c>
      <c r="BF114" s="1"/>
      <c r="BG114" s="1"/>
      <c r="BH114" s="1"/>
      <c r="BI114" s="1"/>
      <c r="BJ114" s="1"/>
      <c r="BK114" s="1"/>
      <c r="BL114" s="1"/>
      <c r="BM114" s="1"/>
      <c r="BN114" s="1"/>
      <c r="BO114" s="1" t="s">
        <v>372</v>
      </c>
      <c r="BP114" s="1" t="s">
        <v>371</v>
      </c>
      <c r="BQ114" s="50">
        <f t="shared" si="27"/>
        <v>0</v>
      </c>
      <c r="BR114" s="45">
        <f t="shared" si="41"/>
        <v>263</v>
      </c>
      <c r="BS114" s="70">
        <f t="shared" si="42"/>
        <v>43.833333333333336</v>
      </c>
      <c r="BT114" s="45" t="str">
        <f t="shared" si="29"/>
        <v>PASS</v>
      </c>
      <c r="BU114" s="1"/>
    </row>
    <row r="115" spans="1:73" x14ac:dyDescent="0.25">
      <c r="A115" s="1">
        <v>110</v>
      </c>
      <c r="B115" s="12" t="s">
        <v>118</v>
      </c>
      <c r="C115" s="1">
        <v>9</v>
      </c>
      <c r="D115" s="1">
        <v>24</v>
      </c>
      <c r="E115" s="1">
        <v>13</v>
      </c>
      <c r="F115" s="1">
        <v>16</v>
      </c>
      <c r="G115" s="1">
        <v>42</v>
      </c>
      <c r="H115" s="1">
        <f t="shared" si="30"/>
        <v>104</v>
      </c>
      <c r="I115" s="1">
        <f t="shared" si="31"/>
        <v>52</v>
      </c>
      <c r="J115" s="1"/>
      <c r="K115" s="1">
        <v>15</v>
      </c>
      <c r="L115" s="1">
        <v>31</v>
      </c>
      <c r="M115" s="1">
        <v>13</v>
      </c>
      <c r="N115" s="1">
        <v>16</v>
      </c>
      <c r="O115" s="1">
        <v>33</v>
      </c>
      <c r="P115" s="1">
        <f t="shared" si="32"/>
        <v>108</v>
      </c>
      <c r="Q115" s="1">
        <f t="shared" si="33"/>
        <v>54</v>
      </c>
      <c r="R115" s="1"/>
      <c r="S115" s="1">
        <v>15</v>
      </c>
      <c r="T115" s="1">
        <v>45</v>
      </c>
      <c r="U115" s="1">
        <v>19</v>
      </c>
      <c r="V115" s="1">
        <v>17</v>
      </c>
      <c r="W115" s="1">
        <v>64</v>
      </c>
      <c r="X115" s="1">
        <f t="shared" si="34"/>
        <v>160</v>
      </c>
      <c r="Y115" s="1">
        <f t="shared" si="35"/>
        <v>80</v>
      </c>
      <c r="Z115" s="1"/>
      <c r="AA115" s="1">
        <v>17</v>
      </c>
      <c r="AB115" s="1">
        <v>30</v>
      </c>
      <c r="AC115" s="1">
        <v>13</v>
      </c>
      <c r="AD115" s="1">
        <v>15</v>
      </c>
      <c r="AE115" s="1">
        <v>61</v>
      </c>
      <c r="AF115" s="1">
        <f t="shared" si="36"/>
        <v>136</v>
      </c>
      <c r="AG115" s="1">
        <f t="shared" si="37"/>
        <v>68</v>
      </c>
      <c r="AH115" s="1"/>
      <c r="AI115" s="1">
        <v>4</v>
      </c>
      <c r="AJ115" s="1">
        <v>37</v>
      </c>
      <c r="AK115" s="1">
        <v>21</v>
      </c>
      <c r="AL115" s="1">
        <v>17</v>
      </c>
      <c r="AM115" s="1">
        <v>63</v>
      </c>
      <c r="AN115" s="1">
        <f t="shared" si="38"/>
        <v>142</v>
      </c>
      <c r="AO115" s="1">
        <f t="shared" si="39"/>
        <v>71</v>
      </c>
      <c r="AP115" s="1"/>
      <c r="AQ115" s="1">
        <v>11</v>
      </c>
      <c r="AR115" s="1">
        <v>21</v>
      </c>
      <c r="AS115" s="1">
        <v>8</v>
      </c>
      <c r="AT115" s="1">
        <v>34</v>
      </c>
      <c r="AU115" s="1">
        <v>11</v>
      </c>
      <c r="AV115" s="1">
        <v>15.5</v>
      </c>
      <c r="AW115" s="1">
        <v>6.5</v>
      </c>
      <c r="AX115" s="1">
        <v>28</v>
      </c>
      <c r="AY115" s="1">
        <f t="shared" si="45"/>
        <v>22</v>
      </c>
      <c r="AZ115" s="1">
        <f t="shared" si="46"/>
        <v>37</v>
      </c>
      <c r="BA115" s="1">
        <f t="shared" si="44"/>
        <v>15</v>
      </c>
      <c r="BB115" s="1">
        <v>15</v>
      </c>
      <c r="BC115" s="1">
        <f t="shared" si="47"/>
        <v>62</v>
      </c>
      <c r="BD115" s="1">
        <f t="shared" si="40"/>
        <v>151</v>
      </c>
      <c r="BE115" s="1">
        <f t="shared" si="43"/>
        <v>76</v>
      </c>
      <c r="BF115" s="1"/>
      <c r="BG115" s="1"/>
      <c r="BH115" s="1"/>
      <c r="BI115" s="1"/>
      <c r="BJ115" s="1"/>
      <c r="BK115" s="1"/>
      <c r="BL115" s="1"/>
      <c r="BM115" s="1"/>
      <c r="BN115" s="1"/>
      <c r="BO115" s="1" t="s">
        <v>372</v>
      </c>
      <c r="BP115" s="1" t="s">
        <v>371</v>
      </c>
      <c r="BQ115" s="50">
        <f t="shared" si="27"/>
        <v>0</v>
      </c>
      <c r="BR115" s="45">
        <f t="shared" si="41"/>
        <v>401</v>
      </c>
      <c r="BS115" s="70">
        <f t="shared" si="42"/>
        <v>66.833333333333329</v>
      </c>
      <c r="BT115" s="45" t="str">
        <f t="shared" si="29"/>
        <v>GRADE I</v>
      </c>
      <c r="BU115" s="1"/>
    </row>
    <row r="116" spans="1:73" x14ac:dyDescent="0.25">
      <c r="A116" s="1">
        <v>111</v>
      </c>
      <c r="B116" s="12" t="s">
        <v>119</v>
      </c>
      <c r="C116" s="1">
        <v>7</v>
      </c>
      <c r="D116" s="1">
        <v>25</v>
      </c>
      <c r="E116" s="1">
        <v>14</v>
      </c>
      <c r="F116" s="1">
        <v>16</v>
      </c>
      <c r="G116" s="1">
        <v>45</v>
      </c>
      <c r="H116" s="1">
        <f t="shared" si="30"/>
        <v>107</v>
      </c>
      <c r="I116" s="1">
        <f t="shared" si="31"/>
        <v>54</v>
      </c>
      <c r="J116" s="1"/>
      <c r="K116" s="1">
        <v>14</v>
      </c>
      <c r="L116" s="1">
        <v>20</v>
      </c>
      <c r="M116" s="1">
        <v>10</v>
      </c>
      <c r="N116" s="1">
        <v>14</v>
      </c>
      <c r="O116" s="1">
        <v>34</v>
      </c>
      <c r="P116" s="1">
        <f t="shared" si="32"/>
        <v>92</v>
      </c>
      <c r="Q116" s="1">
        <f t="shared" si="33"/>
        <v>46</v>
      </c>
      <c r="R116" s="1"/>
      <c r="S116" s="1">
        <v>12</v>
      </c>
      <c r="T116" s="1">
        <v>31</v>
      </c>
      <c r="U116" s="1">
        <v>9</v>
      </c>
      <c r="V116" s="1">
        <v>19</v>
      </c>
      <c r="W116" s="1">
        <v>48</v>
      </c>
      <c r="X116" s="1">
        <f t="shared" si="34"/>
        <v>119</v>
      </c>
      <c r="Y116" s="1">
        <f t="shared" si="35"/>
        <v>60</v>
      </c>
      <c r="Z116" s="1"/>
      <c r="AA116" s="1">
        <v>16</v>
      </c>
      <c r="AB116" s="1">
        <v>23</v>
      </c>
      <c r="AC116" s="1">
        <v>16</v>
      </c>
      <c r="AD116" s="1">
        <v>13</v>
      </c>
      <c r="AE116" s="1">
        <v>18</v>
      </c>
      <c r="AF116" s="1">
        <f t="shared" si="36"/>
        <v>86</v>
      </c>
      <c r="AG116" s="1">
        <f t="shared" si="37"/>
        <v>43</v>
      </c>
      <c r="AH116" s="1"/>
      <c r="AI116" s="1">
        <v>15</v>
      </c>
      <c r="AJ116" s="1">
        <v>31</v>
      </c>
      <c r="AK116" s="1">
        <v>11</v>
      </c>
      <c r="AL116" s="1">
        <v>17</v>
      </c>
      <c r="AM116" s="1">
        <v>36</v>
      </c>
      <c r="AN116" s="1">
        <f t="shared" si="38"/>
        <v>110</v>
      </c>
      <c r="AO116" s="1">
        <f t="shared" si="39"/>
        <v>55</v>
      </c>
      <c r="AP116" s="1"/>
      <c r="AQ116" s="1">
        <v>3</v>
      </c>
      <c r="AR116" s="1">
        <v>5</v>
      </c>
      <c r="AS116" s="1">
        <v>4</v>
      </c>
      <c r="AT116" s="1">
        <v>7</v>
      </c>
      <c r="AU116" s="1">
        <v>6</v>
      </c>
      <c r="AV116" s="1">
        <v>7.5</v>
      </c>
      <c r="AW116" s="1">
        <v>7.5</v>
      </c>
      <c r="AX116" s="1">
        <v>16</v>
      </c>
      <c r="AY116" s="1">
        <f t="shared" si="45"/>
        <v>9</v>
      </c>
      <c r="AZ116" s="1">
        <f t="shared" si="46"/>
        <v>13</v>
      </c>
      <c r="BA116" s="1">
        <f t="shared" si="44"/>
        <v>12</v>
      </c>
      <c r="BB116" s="1">
        <v>10</v>
      </c>
      <c r="BC116" s="1">
        <f t="shared" si="47"/>
        <v>23</v>
      </c>
      <c r="BD116" s="1">
        <f t="shared" si="40"/>
        <v>67</v>
      </c>
      <c r="BE116" s="1">
        <f t="shared" si="43"/>
        <v>34</v>
      </c>
      <c r="BF116" s="1">
        <v>1</v>
      </c>
      <c r="BG116" s="1"/>
      <c r="BH116" s="1"/>
      <c r="BI116" s="1"/>
      <c r="BJ116" s="1"/>
      <c r="BK116" s="1"/>
      <c r="BL116" s="1"/>
      <c r="BM116" s="1"/>
      <c r="BN116" s="1"/>
      <c r="BO116" s="1" t="s">
        <v>371</v>
      </c>
      <c r="BP116" s="1" t="s">
        <v>371</v>
      </c>
      <c r="BQ116" s="50">
        <f t="shared" si="27"/>
        <v>1</v>
      </c>
      <c r="BR116" s="45">
        <f t="shared" si="41"/>
        <v>292</v>
      </c>
      <c r="BS116" s="70">
        <f t="shared" si="42"/>
        <v>48.666666666666664</v>
      </c>
      <c r="BT116" s="45" t="s">
        <v>375</v>
      </c>
      <c r="BU116" s="1"/>
    </row>
    <row r="117" spans="1:73" x14ac:dyDescent="0.25">
      <c r="A117" s="1">
        <v>112</v>
      </c>
      <c r="B117" s="12" t="s">
        <v>120</v>
      </c>
      <c r="C117" s="1">
        <v>8</v>
      </c>
      <c r="D117" s="1">
        <v>14</v>
      </c>
      <c r="E117" s="1">
        <v>9</v>
      </c>
      <c r="F117" s="1">
        <v>16</v>
      </c>
      <c r="G117" s="1">
        <v>39</v>
      </c>
      <c r="H117" s="1">
        <f t="shared" si="30"/>
        <v>86</v>
      </c>
      <c r="I117" s="1">
        <f t="shared" si="31"/>
        <v>43</v>
      </c>
      <c r="J117" s="1"/>
      <c r="K117" s="1">
        <v>10</v>
      </c>
      <c r="L117" s="1">
        <v>26</v>
      </c>
      <c r="M117" s="1">
        <v>13</v>
      </c>
      <c r="N117" s="1">
        <v>16</v>
      </c>
      <c r="O117" s="1">
        <v>27</v>
      </c>
      <c r="P117" s="1">
        <f t="shared" si="32"/>
        <v>92</v>
      </c>
      <c r="Q117" s="1">
        <f t="shared" si="33"/>
        <v>46</v>
      </c>
      <c r="R117" s="1"/>
      <c r="S117" s="1">
        <v>9</v>
      </c>
      <c r="T117" s="1">
        <v>25</v>
      </c>
      <c r="U117" s="1">
        <v>14</v>
      </c>
      <c r="V117" s="1">
        <v>16</v>
      </c>
      <c r="W117" s="1">
        <v>36</v>
      </c>
      <c r="X117" s="1">
        <f t="shared" si="34"/>
        <v>100</v>
      </c>
      <c r="Y117" s="1">
        <f t="shared" si="35"/>
        <v>50</v>
      </c>
      <c r="Z117" s="1"/>
      <c r="AA117" s="1">
        <v>7</v>
      </c>
      <c r="AB117" s="1">
        <v>15</v>
      </c>
      <c r="AC117" s="1">
        <v>10</v>
      </c>
      <c r="AD117" s="1">
        <v>10</v>
      </c>
      <c r="AE117" s="1">
        <v>21</v>
      </c>
      <c r="AF117" s="1">
        <f t="shared" si="36"/>
        <v>63</v>
      </c>
      <c r="AG117" s="1">
        <f t="shared" si="37"/>
        <v>32</v>
      </c>
      <c r="AH117" s="1">
        <v>3</v>
      </c>
      <c r="AI117" s="1">
        <v>7</v>
      </c>
      <c r="AJ117" s="1">
        <v>20</v>
      </c>
      <c r="AK117" s="1">
        <v>7</v>
      </c>
      <c r="AL117" s="1">
        <v>15</v>
      </c>
      <c r="AM117" s="1">
        <v>28</v>
      </c>
      <c r="AN117" s="1">
        <f t="shared" si="38"/>
        <v>77</v>
      </c>
      <c r="AO117" s="1">
        <f t="shared" si="39"/>
        <v>39</v>
      </c>
      <c r="AP117" s="1"/>
      <c r="AQ117" s="1">
        <v>5</v>
      </c>
      <c r="AR117" s="1">
        <v>5</v>
      </c>
      <c r="AS117" s="1">
        <v>2.5</v>
      </c>
      <c r="AT117" s="1">
        <v>8</v>
      </c>
      <c r="AU117" s="1">
        <v>1</v>
      </c>
      <c r="AV117" s="1">
        <v>3</v>
      </c>
      <c r="AW117" s="1">
        <v>3</v>
      </c>
      <c r="AX117" s="1">
        <v>11</v>
      </c>
      <c r="AY117" s="1">
        <f t="shared" si="45"/>
        <v>6</v>
      </c>
      <c r="AZ117" s="1">
        <f t="shared" si="46"/>
        <v>8</v>
      </c>
      <c r="BA117" s="1">
        <f t="shared" si="44"/>
        <v>6</v>
      </c>
      <c r="BB117" s="1">
        <v>10</v>
      </c>
      <c r="BC117" s="1">
        <f t="shared" si="47"/>
        <v>19</v>
      </c>
      <c r="BD117" s="1">
        <f t="shared" si="40"/>
        <v>49</v>
      </c>
      <c r="BE117" s="1">
        <f t="shared" si="43"/>
        <v>25</v>
      </c>
      <c r="BF117" s="1">
        <v>10</v>
      </c>
      <c r="BG117" s="1"/>
      <c r="BH117" s="1"/>
      <c r="BI117" s="1"/>
      <c r="BJ117" s="1"/>
      <c r="BK117" s="1"/>
      <c r="BL117" s="1"/>
      <c r="BM117" s="1"/>
      <c r="BN117" s="1"/>
      <c r="BO117" s="1" t="s">
        <v>371</v>
      </c>
      <c r="BP117" s="1" t="s">
        <v>371</v>
      </c>
      <c r="BQ117" s="50">
        <f t="shared" si="27"/>
        <v>13</v>
      </c>
      <c r="BR117" s="45">
        <f t="shared" si="41"/>
        <v>235</v>
      </c>
      <c r="BS117" s="70">
        <f t="shared" si="42"/>
        <v>39.166666666666664</v>
      </c>
      <c r="BT117" s="45" t="s">
        <v>375</v>
      </c>
      <c r="BU117" s="1"/>
    </row>
    <row r="118" spans="1:73" x14ac:dyDescent="0.25">
      <c r="A118" s="1">
        <v>113</v>
      </c>
      <c r="B118" s="8" t="s">
        <v>121</v>
      </c>
      <c r="C118" s="1">
        <v>4</v>
      </c>
      <c r="D118" s="1">
        <v>7</v>
      </c>
      <c r="E118" s="1">
        <v>8</v>
      </c>
      <c r="F118" s="1">
        <v>14</v>
      </c>
      <c r="G118" s="1">
        <v>34</v>
      </c>
      <c r="H118" s="1">
        <f t="shared" si="30"/>
        <v>67</v>
      </c>
      <c r="I118" s="1">
        <f t="shared" si="31"/>
        <v>34</v>
      </c>
      <c r="J118" s="1"/>
      <c r="K118" s="1">
        <v>9</v>
      </c>
      <c r="L118" s="1">
        <v>11</v>
      </c>
      <c r="M118" s="1">
        <v>7</v>
      </c>
      <c r="N118" s="1">
        <v>14</v>
      </c>
      <c r="O118" s="1">
        <v>16</v>
      </c>
      <c r="P118" s="1">
        <f t="shared" si="32"/>
        <v>57</v>
      </c>
      <c r="Q118" s="1">
        <f t="shared" si="33"/>
        <v>29</v>
      </c>
      <c r="R118" s="1"/>
      <c r="S118" s="1">
        <v>4</v>
      </c>
      <c r="T118" s="1">
        <v>9</v>
      </c>
      <c r="U118" s="1">
        <v>1</v>
      </c>
      <c r="V118" s="1">
        <v>16</v>
      </c>
      <c r="W118" s="1">
        <v>24</v>
      </c>
      <c r="X118" s="1">
        <f t="shared" si="34"/>
        <v>54</v>
      </c>
      <c r="Y118" s="1">
        <f t="shared" si="35"/>
        <v>27</v>
      </c>
      <c r="Z118" s="1"/>
      <c r="AA118" s="1">
        <v>3</v>
      </c>
      <c r="AB118" s="1">
        <v>7</v>
      </c>
      <c r="AC118" s="1">
        <v>5</v>
      </c>
      <c r="AD118" s="1">
        <v>5</v>
      </c>
      <c r="AE118" s="1">
        <v>12</v>
      </c>
      <c r="AF118" s="1">
        <f t="shared" si="36"/>
        <v>32</v>
      </c>
      <c r="AG118" s="1">
        <f t="shared" si="37"/>
        <v>16</v>
      </c>
      <c r="AH118" s="1"/>
      <c r="AI118" s="1">
        <v>10</v>
      </c>
      <c r="AJ118" s="1">
        <v>9</v>
      </c>
      <c r="AK118" s="1">
        <v>4</v>
      </c>
      <c r="AL118" s="1">
        <v>11</v>
      </c>
      <c r="AM118" s="1">
        <v>22</v>
      </c>
      <c r="AN118" s="1">
        <f t="shared" si="38"/>
        <v>56</v>
      </c>
      <c r="AO118" s="1">
        <f t="shared" si="39"/>
        <v>28</v>
      </c>
      <c r="AP118" s="1"/>
      <c r="AQ118" s="1">
        <v>0</v>
      </c>
      <c r="AR118" s="1">
        <v>1</v>
      </c>
      <c r="AS118" s="1">
        <v>2</v>
      </c>
      <c r="AT118" s="1">
        <v>8</v>
      </c>
      <c r="AU118" s="1">
        <v>2</v>
      </c>
      <c r="AV118" s="1">
        <v>3.5</v>
      </c>
      <c r="AW118" s="1">
        <v>2.5</v>
      </c>
      <c r="AX118" s="1">
        <v>10</v>
      </c>
      <c r="AY118" s="1">
        <f t="shared" si="45"/>
        <v>2</v>
      </c>
      <c r="AZ118" s="1">
        <f t="shared" si="46"/>
        <v>5</v>
      </c>
      <c r="BA118" s="1">
        <f t="shared" si="44"/>
        <v>5</v>
      </c>
      <c r="BB118" s="1">
        <v>7</v>
      </c>
      <c r="BC118" s="1">
        <f t="shared" si="47"/>
        <v>18</v>
      </c>
      <c r="BD118" s="1">
        <f t="shared" si="40"/>
        <v>37</v>
      </c>
      <c r="BE118" s="1">
        <f t="shared" si="43"/>
        <v>19</v>
      </c>
      <c r="BF118" s="1"/>
      <c r="BG118" s="1"/>
      <c r="BH118" s="1"/>
      <c r="BI118" s="1"/>
      <c r="BJ118" s="1"/>
      <c r="BK118" s="1"/>
      <c r="BL118" s="1"/>
      <c r="BM118" s="1"/>
      <c r="BN118" s="1"/>
      <c r="BO118" s="1" t="s">
        <v>372</v>
      </c>
      <c r="BP118" s="1" t="s">
        <v>371</v>
      </c>
      <c r="BQ118" s="50">
        <f t="shared" si="27"/>
        <v>0</v>
      </c>
      <c r="BR118" s="45">
        <f t="shared" si="41"/>
        <v>153</v>
      </c>
      <c r="BS118" s="70">
        <f t="shared" si="42"/>
        <v>25.5</v>
      </c>
      <c r="BT118" s="45" t="str">
        <f t="shared" si="29"/>
        <v>FAIL</v>
      </c>
      <c r="BU118" s="1"/>
    </row>
    <row r="119" spans="1:73" x14ac:dyDescent="0.25">
      <c r="A119" s="1">
        <v>114</v>
      </c>
      <c r="B119" s="8" t="s">
        <v>122</v>
      </c>
      <c r="C119" s="1">
        <v>11</v>
      </c>
      <c r="D119" s="1">
        <v>20</v>
      </c>
      <c r="E119" s="1">
        <v>16</v>
      </c>
      <c r="F119" s="1">
        <v>13</v>
      </c>
      <c r="G119" s="1">
        <v>48</v>
      </c>
      <c r="H119" s="1">
        <f t="shared" si="30"/>
        <v>108</v>
      </c>
      <c r="I119" s="1">
        <f t="shared" si="31"/>
        <v>54</v>
      </c>
      <c r="J119" s="1"/>
      <c r="K119" s="1">
        <v>18</v>
      </c>
      <c r="L119" s="1">
        <v>34</v>
      </c>
      <c r="M119" s="1">
        <v>16</v>
      </c>
      <c r="N119" s="1">
        <v>15</v>
      </c>
      <c r="O119" s="1">
        <v>42</v>
      </c>
      <c r="P119" s="1">
        <f t="shared" si="32"/>
        <v>125</v>
      </c>
      <c r="Q119" s="1">
        <f t="shared" si="33"/>
        <v>63</v>
      </c>
      <c r="R119" s="1"/>
      <c r="S119" s="1">
        <v>23</v>
      </c>
      <c r="T119" s="1">
        <v>38</v>
      </c>
      <c r="U119" s="1">
        <v>19</v>
      </c>
      <c r="V119" s="1">
        <v>19</v>
      </c>
      <c r="W119" s="1">
        <v>63</v>
      </c>
      <c r="X119" s="1">
        <f t="shared" si="34"/>
        <v>162</v>
      </c>
      <c r="Y119" s="1">
        <f t="shared" si="35"/>
        <v>81</v>
      </c>
      <c r="Z119" s="1"/>
      <c r="AA119" s="1">
        <v>17</v>
      </c>
      <c r="AB119" s="1">
        <v>18</v>
      </c>
      <c r="AC119" s="1">
        <v>10</v>
      </c>
      <c r="AD119" s="1">
        <v>14</v>
      </c>
      <c r="AE119" s="1">
        <v>33</v>
      </c>
      <c r="AF119" s="1">
        <f t="shared" si="36"/>
        <v>92</v>
      </c>
      <c r="AG119" s="1">
        <f t="shared" si="37"/>
        <v>46</v>
      </c>
      <c r="AH119" s="1"/>
      <c r="AI119" s="1">
        <v>19</v>
      </c>
      <c r="AJ119" s="1">
        <v>36</v>
      </c>
      <c r="AK119" s="1">
        <v>17</v>
      </c>
      <c r="AL119" s="1">
        <v>20</v>
      </c>
      <c r="AM119" s="1">
        <v>58</v>
      </c>
      <c r="AN119" s="1">
        <f t="shared" si="38"/>
        <v>150</v>
      </c>
      <c r="AO119" s="1">
        <f t="shared" si="39"/>
        <v>75</v>
      </c>
      <c r="AP119" s="1"/>
      <c r="AQ119" s="1">
        <v>6</v>
      </c>
      <c r="AR119" s="1">
        <v>5</v>
      </c>
      <c r="AS119" s="1">
        <v>5</v>
      </c>
      <c r="AT119" s="1">
        <v>14</v>
      </c>
      <c r="AU119" s="1">
        <v>1</v>
      </c>
      <c r="AV119" s="1">
        <v>8.5</v>
      </c>
      <c r="AW119" s="1">
        <v>3</v>
      </c>
      <c r="AX119" s="1">
        <v>11</v>
      </c>
      <c r="AY119" s="1">
        <f t="shared" si="45"/>
        <v>7</v>
      </c>
      <c r="AZ119" s="1">
        <f t="shared" si="46"/>
        <v>14</v>
      </c>
      <c r="BA119" s="1">
        <f t="shared" si="44"/>
        <v>8</v>
      </c>
      <c r="BB119" s="1">
        <v>8</v>
      </c>
      <c r="BC119" s="1">
        <f t="shared" si="47"/>
        <v>25</v>
      </c>
      <c r="BD119" s="1">
        <f t="shared" si="40"/>
        <v>62</v>
      </c>
      <c r="BE119" s="1">
        <f t="shared" si="43"/>
        <v>31</v>
      </c>
      <c r="BF119" s="1">
        <v>4</v>
      </c>
      <c r="BG119" s="1"/>
      <c r="BH119" s="1"/>
      <c r="BI119" s="1"/>
      <c r="BJ119" s="1"/>
      <c r="BK119" s="1"/>
      <c r="BL119" s="1"/>
      <c r="BM119" s="1"/>
      <c r="BN119" s="1"/>
      <c r="BO119" s="1" t="s">
        <v>371</v>
      </c>
      <c r="BP119" s="1" t="s">
        <v>371</v>
      </c>
      <c r="BQ119" s="50">
        <f t="shared" si="27"/>
        <v>4</v>
      </c>
      <c r="BR119" s="45">
        <f t="shared" si="41"/>
        <v>350</v>
      </c>
      <c r="BS119" s="70">
        <f t="shared" si="42"/>
        <v>58.333333333333336</v>
      </c>
      <c r="BT119" s="45" t="s">
        <v>375</v>
      </c>
      <c r="BU119" s="1"/>
    </row>
    <row r="120" spans="1:73" x14ac:dyDescent="0.25">
      <c r="A120" s="1">
        <v>115</v>
      </c>
      <c r="B120" s="8" t="s">
        <v>123</v>
      </c>
      <c r="C120" s="1">
        <v>10</v>
      </c>
      <c r="D120" s="1">
        <v>20</v>
      </c>
      <c r="E120" s="1">
        <v>16</v>
      </c>
      <c r="F120" s="1">
        <v>12</v>
      </c>
      <c r="G120" s="1">
        <v>48</v>
      </c>
      <c r="H120" s="1">
        <f t="shared" si="30"/>
        <v>106</v>
      </c>
      <c r="I120" s="1">
        <f t="shared" si="31"/>
        <v>53</v>
      </c>
      <c r="J120" s="1"/>
      <c r="K120" s="1">
        <v>18</v>
      </c>
      <c r="L120" s="1">
        <v>34</v>
      </c>
      <c r="M120" s="1">
        <v>14</v>
      </c>
      <c r="N120" s="1">
        <v>14</v>
      </c>
      <c r="O120" s="1">
        <v>37</v>
      </c>
      <c r="P120" s="1">
        <f t="shared" si="32"/>
        <v>117</v>
      </c>
      <c r="Q120" s="1">
        <f t="shared" si="33"/>
        <v>59</v>
      </c>
      <c r="R120" s="1"/>
      <c r="S120" s="1">
        <v>22</v>
      </c>
      <c r="T120" s="1">
        <v>44</v>
      </c>
      <c r="U120" s="1">
        <v>13</v>
      </c>
      <c r="V120" s="1">
        <v>17</v>
      </c>
      <c r="W120" s="1">
        <v>49</v>
      </c>
      <c r="X120" s="1">
        <f t="shared" si="34"/>
        <v>145</v>
      </c>
      <c r="Y120" s="1">
        <f t="shared" si="35"/>
        <v>73</v>
      </c>
      <c r="Z120" s="1"/>
      <c r="AA120" s="1">
        <v>20</v>
      </c>
      <c r="AB120" s="1">
        <v>35</v>
      </c>
      <c r="AC120" s="1">
        <v>19</v>
      </c>
      <c r="AD120" s="1">
        <v>15</v>
      </c>
      <c r="AE120" s="1">
        <v>47</v>
      </c>
      <c r="AF120" s="1">
        <f t="shared" si="36"/>
        <v>136</v>
      </c>
      <c r="AG120" s="1">
        <f t="shared" si="37"/>
        <v>68</v>
      </c>
      <c r="AH120" s="1"/>
      <c r="AI120" s="1">
        <v>19</v>
      </c>
      <c r="AJ120" s="1">
        <v>43</v>
      </c>
      <c r="AK120" s="1">
        <v>12</v>
      </c>
      <c r="AL120" s="1">
        <v>17</v>
      </c>
      <c r="AM120" s="1">
        <v>52</v>
      </c>
      <c r="AN120" s="1">
        <f t="shared" si="38"/>
        <v>143</v>
      </c>
      <c r="AO120" s="1">
        <f t="shared" si="39"/>
        <v>72</v>
      </c>
      <c r="AP120" s="1"/>
      <c r="AQ120" s="1">
        <v>10</v>
      </c>
      <c r="AR120" s="1">
        <v>20</v>
      </c>
      <c r="AS120" s="1">
        <v>8.5</v>
      </c>
      <c r="AT120" s="1">
        <v>28</v>
      </c>
      <c r="AU120" s="1">
        <v>7</v>
      </c>
      <c r="AV120" s="1">
        <v>15</v>
      </c>
      <c r="AW120" s="1">
        <v>2.5</v>
      </c>
      <c r="AX120" s="1">
        <v>23</v>
      </c>
      <c r="AY120" s="1">
        <f t="shared" si="45"/>
        <v>17</v>
      </c>
      <c r="AZ120" s="1">
        <f t="shared" si="46"/>
        <v>35</v>
      </c>
      <c r="BA120" s="1">
        <f t="shared" si="44"/>
        <v>11</v>
      </c>
      <c r="BB120" s="1">
        <v>13</v>
      </c>
      <c r="BC120" s="1">
        <f t="shared" si="47"/>
        <v>51</v>
      </c>
      <c r="BD120" s="1">
        <f t="shared" si="40"/>
        <v>127</v>
      </c>
      <c r="BE120" s="1">
        <f t="shared" si="43"/>
        <v>64</v>
      </c>
      <c r="BF120" s="1"/>
      <c r="BG120" s="1"/>
      <c r="BH120" s="1"/>
      <c r="BI120" s="1"/>
      <c r="BJ120" s="1"/>
      <c r="BK120" s="1"/>
      <c r="BL120" s="1"/>
      <c r="BM120" s="1"/>
      <c r="BN120" s="1"/>
      <c r="BO120" s="1" t="s">
        <v>371</v>
      </c>
      <c r="BP120" s="1" t="s">
        <v>371</v>
      </c>
      <c r="BQ120" s="50">
        <f t="shared" si="27"/>
        <v>0</v>
      </c>
      <c r="BR120" s="45">
        <f t="shared" si="41"/>
        <v>389</v>
      </c>
      <c r="BS120" s="70">
        <f t="shared" si="42"/>
        <v>64.833333333333329</v>
      </c>
      <c r="BT120" s="45" t="str">
        <f t="shared" si="29"/>
        <v>GRADE I</v>
      </c>
      <c r="BU120" s="1"/>
    </row>
    <row r="121" spans="1:73" x14ac:dyDescent="0.25">
      <c r="A121" s="1">
        <v>116</v>
      </c>
      <c r="B121" s="8" t="s">
        <v>124</v>
      </c>
      <c r="C121" s="1">
        <v>8</v>
      </c>
      <c r="D121" s="1">
        <v>19</v>
      </c>
      <c r="E121" s="1">
        <v>9</v>
      </c>
      <c r="F121" s="1">
        <v>15</v>
      </c>
      <c r="G121" s="1">
        <v>36</v>
      </c>
      <c r="H121" s="1">
        <f t="shared" si="30"/>
        <v>87</v>
      </c>
      <c r="I121" s="1">
        <f t="shared" si="31"/>
        <v>44</v>
      </c>
      <c r="J121" s="1"/>
      <c r="K121" s="1" t="s">
        <v>248</v>
      </c>
      <c r="L121" s="1">
        <v>23</v>
      </c>
      <c r="M121" s="1">
        <v>7</v>
      </c>
      <c r="N121" s="1">
        <v>16</v>
      </c>
      <c r="O121" s="1">
        <v>25</v>
      </c>
      <c r="P121" s="1">
        <f t="shared" si="32"/>
        <v>71</v>
      </c>
      <c r="Q121" s="1">
        <f t="shared" si="33"/>
        <v>36</v>
      </c>
      <c r="R121" s="1"/>
      <c r="S121" s="1" t="s">
        <v>248</v>
      </c>
      <c r="T121" s="1">
        <v>25</v>
      </c>
      <c r="U121" s="1">
        <v>6</v>
      </c>
      <c r="V121" s="1">
        <v>11</v>
      </c>
      <c r="W121" s="1">
        <v>35</v>
      </c>
      <c r="X121" s="1">
        <f t="shared" si="34"/>
        <v>77</v>
      </c>
      <c r="Y121" s="1">
        <f t="shared" si="35"/>
        <v>39</v>
      </c>
      <c r="Z121" s="1"/>
      <c r="AA121" s="1">
        <v>14</v>
      </c>
      <c r="AB121" s="1">
        <v>15</v>
      </c>
      <c r="AC121" s="1">
        <v>5</v>
      </c>
      <c r="AD121" s="1">
        <v>5</v>
      </c>
      <c r="AE121" s="1">
        <v>21</v>
      </c>
      <c r="AF121" s="1">
        <f t="shared" si="36"/>
        <v>60</v>
      </c>
      <c r="AG121" s="1">
        <f t="shared" si="37"/>
        <v>30</v>
      </c>
      <c r="AH121" s="1">
        <v>5</v>
      </c>
      <c r="AI121" s="1">
        <v>18</v>
      </c>
      <c r="AJ121" s="1">
        <v>29</v>
      </c>
      <c r="AK121" s="1">
        <v>8</v>
      </c>
      <c r="AL121" s="1">
        <v>14</v>
      </c>
      <c r="AM121" s="1">
        <v>30</v>
      </c>
      <c r="AN121" s="1">
        <f t="shared" si="38"/>
        <v>99</v>
      </c>
      <c r="AO121" s="1">
        <f t="shared" si="39"/>
        <v>50</v>
      </c>
      <c r="AP121" s="1"/>
      <c r="AQ121" s="1"/>
      <c r="AR121" s="1"/>
      <c r="AS121" s="1"/>
      <c r="AT121" s="1"/>
      <c r="AU121" s="1"/>
      <c r="AV121" s="1"/>
      <c r="AW121" s="1" t="s">
        <v>248</v>
      </c>
      <c r="AX121" s="1" t="s">
        <v>341</v>
      </c>
      <c r="AY121" s="1"/>
      <c r="AZ121" s="1"/>
      <c r="BA121" s="1"/>
      <c r="BB121" s="1"/>
      <c r="BC121" s="1"/>
      <c r="BD121" s="1"/>
      <c r="BE121" s="1"/>
      <c r="BF121" s="1"/>
      <c r="BG121" s="1">
        <v>8</v>
      </c>
      <c r="BH121" s="1">
        <v>6</v>
      </c>
      <c r="BI121" s="1">
        <v>6</v>
      </c>
      <c r="BJ121" s="1">
        <v>14</v>
      </c>
      <c r="BK121" s="1">
        <v>30</v>
      </c>
      <c r="BL121" s="1">
        <f>SUM(BG121:BK121)</f>
        <v>64</v>
      </c>
      <c r="BM121" s="1">
        <f>64/2</f>
        <v>32</v>
      </c>
      <c r="BN121" s="1"/>
      <c r="BO121" s="1" t="s">
        <v>371</v>
      </c>
      <c r="BP121" s="1" t="s">
        <v>372</v>
      </c>
      <c r="BQ121" s="50">
        <f t="shared" si="27"/>
        <v>5</v>
      </c>
      <c r="BR121" s="45">
        <f t="shared" si="41"/>
        <v>199</v>
      </c>
      <c r="BS121" s="70">
        <f t="shared" si="42"/>
        <v>33.166666666666664</v>
      </c>
      <c r="BT121" s="45"/>
      <c r="BU121" s="1"/>
    </row>
    <row r="122" spans="1:73" x14ac:dyDescent="0.25">
      <c r="A122" s="1">
        <v>117</v>
      </c>
      <c r="B122" s="15" t="s">
        <v>125</v>
      </c>
      <c r="C122" s="1">
        <v>8</v>
      </c>
      <c r="D122" s="1">
        <v>17</v>
      </c>
      <c r="E122" s="1">
        <v>11</v>
      </c>
      <c r="F122" s="1">
        <v>14</v>
      </c>
      <c r="G122" s="1">
        <v>38</v>
      </c>
      <c r="H122" s="1">
        <f t="shared" si="30"/>
        <v>88</v>
      </c>
      <c r="I122" s="1">
        <f t="shared" si="31"/>
        <v>44</v>
      </c>
      <c r="J122" s="1"/>
      <c r="K122" s="1">
        <v>14</v>
      </c>
      <c r="L122" s="1">
        <v>26</v>
      </c>
      <c r="M122" s="1">
        <v>12</v>
      </c>
      <c r="N122" s="1">
        <v>14</v>
      </c>
      <c r="O122" s="1">
        <v>34</v>
      </c>
      <c r="P122" s="1">
        <f t="shared" si="32"/>
        <v>100</v>
      </c>
      <c r="Q122" s="1">
        <f t="shared" si="33"/>
        <v>50</v>
      </c>
      <c r="R122" s="1"/>
      <c r="S122" s="1">
        <v>20</v>
      </c>
      <c r="T122" s="1">
        <v>20</v>
      </c>
      <c r="U122" s="1">
        <v>11</v>
      </c>
      <c r="V122" s="1">
        <v>19</v>
      </c>
      <c r="W122" s="1">
        <v>40</v>
      </c>
      <c r="X122" s="1">
        <f t="shared" si="34"/>
        <v>110</v>
      </c>
      <c r="Y122" s="1">
        <f t="shared" si="35"/>
        <v>55</v>
      </c>
      <c r="Z122" s="1"/>
      <c r="AA122" s="1">
        <v>18</v>
      </c>
      <c r="AB122" s="1">
        <v>14</v>
      </c>
      <c r="AC122" s="1">
        <v>15</v>
      </c>
      <c r="AD122" s="1">
        <v>11</v>
      </c>
      <c r="AE122" s="1">
        <v>26</v>
      </c>
      <c r="AF122" s="1">
        <f t="shared" si="36"/>
        <v>84</v>
      </c>
      <c r="AG122" s="1">
        <f t="shared" si="37"/>
        <v>42</v>
      </c>
      <c r="AH122" s="1"/>
      <c r="AI122" s="1">
        <v>7</v>
      </c>
      <c r="AJ122" s="1">
        <v>17</v>
      </c>
      <c r="AK122" s="1">
        <v>9</v>
      </c>
      <c r="AL122" s="1">
        <v>15</v>
      </c>
      <c r="AM122" s="1">
        <v>31</v>
      </c>
      <c r="AN122" s="1">
        <f t="shared" si="38"/>
        <v>79</v>
      </c>
      <c r="AO122" s="1">
        <f t="shared" si="39"/>
        <v>40</v>
      </c>
      <c r="AP122" s="1"/>
      <c r="AQ122" s="1">
        <v>2.5</v>
      </c>
      <c r="AR122" s="1">
        <v>1</v>
      </c>
      <c r="AS122" s="1">
        <v>7</v>
      </c>
      <c r="AT122" s="1">
        <v>14</v>
      </c>
      <c r="AU122" s="1">
        <v>3</v>
      </c>
      <c r="AV122" s="1">
        <v>0</v>
      </c>
      <c r="AW122" s="1">
        <v>2.5</v>
      </c>
      <c r="AX122" s="1">
        <v>6</v>
      </c>
      <c r="AY122" s="1">
        <f t="shared" ref="AY122:AZ125" si="48">ROUND(SUM(AQ122,AU122),0)</f>
        <v>6</v>
      </c>
      <c r="AZ122" s="1">
        <f t="shared" si="48"/>
        <v>1</v>
      </c>
      <c r="BA122" s="1">
        <f t="shared" si="44"/>
        <v>10</v>
      </c>
      <c r="BB122" s="1">
        <v>12</v>
      </c>
      <c r="BC122" s="1">
        <f t="shared" si="47"/>
        <v>20</v>
      </c>
      <c r="BD122" s="1">
        <f t="shared" si="40"/>
        <v>49</v>
      </c>
      <c r="BE122" s="1">
        <f t="shared" si="43"/>
        <v>25</v>
      </c>
      <c r="BF122" s="1">
        <v>10</v>
      </c>
      <c r="BG122" s="1"/>
      <c r="BH122" s="1"/>
      <c r="BI122" s="1"/>
      <c r="BJ122" s="1"/>
      <c r="BK122" s="1"/>
      <c r="BL122" s="1"/>
      <c r="BM122" s="1"/>
      <c r="BN122" s="1"/>
      <c r="BO122" s="1" t="s">
        <v>371</v>
      </c>
      <c r="BP122" s="1" t="s">
        <v>371</v>
      </c>
      <c r="BQ122" s="50">
        <f t="shared" si="27"/>
        <v>10</v>
      </c>
      <c r="BR122" s="45">
        <f t="shared" si="41"/>
        <v>256</v>
      </c>
      <c r="BS122" s="70">
        <f t="shared" si="42"/>
        <v>42.666666666666664</v>
      </c>
      <c r="BT122" s="45" t="s">
        <v>375</v>
      </c>
      <c r="BU122" s="1"/>
    </row>
    <row r="123" spans="1:73" x14ac:dyDescent="0.25">
      <c r="A123" s="1">
        <v>118</v>
      </c>
      <c r="B123" s="9" t="s">
        <v>126</v>
      </c>
      <c r="C123" s="1">
        <v>7</v>
      </c>
      <c r="D123" s="1">
        <v>19</v>
      </c>
      <c r="E123" s="1">
        <v>11</v>
      </c>
      <c r="F123" s="1">
        <v>13</v>
      </c>
      <c r="G123" s="1">
        <v>35</v>
      </c>
      <c r="H123" s="1">
        <f t="shared" si="30"/>
        <v>85</v>
      </c>
      <c r="I123" s="1">
        <f t="shared" si="31"/>
        <v>43</v>
      </c>
      <c r="J123" s="1"/>
      <c r="K123" s="1">
        <v>9</v>
      </c>
      <c r="L123" s="1">
        <v>18</v>
      </c>
      <c r="M123" s="1">
        <v>9</v>
      </c>
      <c r="N123" s="1">
        <v>13</v>
      </c>
      <c r="O123" s="1">
        <v>28</v>
      </c>
      <c r="P123" s="1">
        <f t="shared" si="32"/>
        <v>77</v>
      </c>
      <c r="Q123" s="1">
        <f t="shared" si="33"/>
        <v>39</v>
      </c>
      <c r="R123" s="1"/>
      <c r="S123" s="1">
        <v>17</v>
      </c>
      <c r="T123" s="1">
        <v>32</v>
      </c>
      <c r="U123" s="1">
        <v>14</v>
      </c>
      <c r="V123" s="1">
        <v>17</v>
      </c>
      <c r="W123" s="1">
        <v>46</v>
      </c>
      <c r="X123" s="1">
        <f t="shared" si="34"/>
        <v>126</v>
      </c>
      <c r="Y123" s="1">
        <f t="shared" si="35"/>
        <v>63</v>
      </c>
      <c r="Z123" s="1"/>
      <c r="AA123" s="1">
        <v>10</v>
      </c>
      <c r="AB123" s="1">
        <v>15</v>
      </c>
      <c r="AC123" s="1">
        <v>16</v>
      </c>
      <c r="AD123" s="1">
        <v>8</v>
      </c>
      <c r="AE123" s="1">
        <v>35</v>
      </c>
      <c r="AF123" s="1">
        <f t="shared" si="36"/>
        <v>84</v>
      </c>
      <c r="AG123" s="1">
        <f t="shared" si="37"/>
        <v>42</v>
      </c>
      <c r="AH123" s="1"/>
      <c r="AI123" s="1">
        <v>15</v>
      </c>
      <c r="AJ123" s="1">
        <v>23</v>
      </c>
      <c r="AK123" s="1">
        <v>9</v>
      </c>
      <c r="AL123" s="1">
        <v>17</v>
      </c>
      <c r="AM123" s="1">
        <v>37</v>
      </c>
      <c r="AN123" s="1">
        <f t="shared" si="38"/>
        <v>101</v>
      </c>
      <c r="AO123" s="1">
        <f t="shared" si="39"/>
        <v>51</v>
      </c>
      <c r="AP123" s="1"/>
      <c r="AQ123" s="1">
        <v>2</v>
      </c>
      <c r="AR123" s="1">
        <v>11</v>
      </c>
      <c r="AS123" s="1">
        <v>7.5</v>
      </c>
      <c r="AT123" s="1">
        <v>27</v>
      </c>
      <c r="AU123" s="1">
        <v>9.5</v>
      </c>
      <c r="AV123" s="1">
        <v>11.5</v>
      </c>
      <c r="AW123" s="1">
        <v>3.5</v>
      </c>
      <c r="AX123" s="1">
        <v>13</v>
      </c>
      <c r="AY123" s="1">
        <f t="shared" si="48"/>
        <v>12</v>
      </c>
      <c r="AZ123" s="1">
        <f t="shared" si="48"/>
        <v>23</v>
      </c>
      <c r="BA123" s="1">
        <f t="shared" si="44"/>
        <v>11</v>
      </c>
      <c r="BB123" s="1">
        <v>18</v>
      </c>
      <c r="BC123" s="1">
        <f t="shared" si="47"/>
        <v>40</v>
      </c>
      <c r="BD123" s="1">
        <f t="shared" si="40"/>
        <v>104</v>
      </c>
      <c r="BE123" s="1">
        <f t="shared" si="43"/>
        <v>52</v>
      </c>
      <c r="BF123" s="1"/>
      <c r="BG123" s="1"/>
      <c r="BH123" s="1"/>
      <c r="BI123" s="1"/>
      <c r="BJ123" s="1"/>
      <c r="BK123" s="1"/>
      <c r="BL123" s="1"/>
      <c r="BM123" s="1"/>
      <c r="BN123" s="1"/>
      <c r="BO123" s="1" t="s">
        <v>371</v>
      </c>
      <c r="BP123" s="1" t="s">
        <v>371</v>
      </c>
      <c r="BQ123" s="50">
        <f t="shared" si="27"/>
        <v>0</v>
      </c>
      <c r="BR123" s="45">
        <f t="shared" si="41"/>
        <v>290</v>
      </c>
      <c r="BS123" s="70">
        <f t="shared" si="42"/>
        <v>48.333333333333336</v>
      </c>
      <c r="BT123" s="45" t="str">
        <f t="shared" si="29"/>
        <v>GRADE II</v>
      </c>
      <c r="BU123" s="1"/>
    </row>
    <row r="124" spans="1:73" ht="15.75" x14ac:dyDescent="0.25">
      <c r="A124" s="1">
        <v>119</v>
      </c>
      <c r="B124" s="16" t="s">
        <v>127</v>
      </c>
      <c r="C124" s="1">
        <v>11</v>
      </c>
      <c r="D124" s="1">
        <v>20</v>
      </c>
      <c r="E124" s="1">
        <v>13</v>
      </c>
      <c r="F124" s="1">
        <v>12</v>
      </c>
      <c r="G124" s="1">
        <v>43</v>
      </c>
      <c r="H124" s="1">
        <f t="shared" si="30"/>
        <v>99</v>
      </c>
      <c r="I124" s="1">
        <f t="shared" si="31"/>
        <v>50</v>
      </c>
      <c r="J124" s="1"/>
      <c r="K124" s="1">
        <v>13</v>
      </c>
      <c r="L124" s="1">
        <v>25</v>
      </c>
      <c r="M124" s="1">
        <v>13</v>
      </c>
      <c r="N124" s="1">
        <v>14</v>
      </c>
      <c r="O124" s="1">
        <v>35</v>
      </c>
      <c r="P124" s="1">
        <f t="shared" si="32"/>
        <v>100</v>
      </c>
      <c r="Q124" s="1">
        <f t="shared" si="33"/>
        <v>50</v>
      </c>
      <c r="R124" s="1"/>
      <c r="S124" s="1">
        <v>20</v>
      </c>
      <c r="T124" s="1">
        <v>25</v>
      </c>
      <c r="U124" s="1">
        <v>13</v>
      </c>
      <c r="V124" s="1">
        <v>14</v>
      </c>
      <c r="W124" s="1">
        <v>36</v>
      </c>
      <c r="X124" s="1">
        <f t="shared" si="34"/>
        <v>108</v>
      </c>
      <c r="Y124" s="1">
        <f t="shared" si="35"/>
        <v>54</v>
      </c>
      <c r="Z124" s="1"/>
      <c r="AA124" s="1">
        <v>15</v>
      </c>
      <c r="AB124" s="1">
        <v>14</v>
      </c>
      <c r="AC124" s="1">
        <v>15</v>
      </c>
      <c r="AD124" s="1">
        <v>12</v>
      </c>
      <c r="AE124" s="1">
        <v>30</v>
      </c>
      <c r="AF124" s="1">
        <f t="shared" si="36"/>
        <v>86</v>
      </c>
      <c r="AG124" s="1">
        <f t="shared" si="37"/>
        <v>43</v>
      </c>
      <c r="AH124" s="1"/>
      <c r="AI124" s="1">
        <v>20</v>
      </c>
      <c r="AJ124" s="1">
        <v>26</v>
      </c>
      <c r="AK124" s="1">
        <v>11</v>
      </c>
      <c r="AL124" s="1">
        <v>18</v>
      </c>
      <c r="AM124" s="1">
        <v>39</v>
      </c>
      <c r="AN124" s="1">
        <f t="shared" si="38"/>
        <v>114</v>
      </c>
      <c r="AO124" s="1">
        <f t="shared" si="39"/>
        <v>57</v>
      </c>
      <c r="AP124" s="1"/>
      <c r="AQ124" s="1">
        <v>6</v>
      </c>
      <c r="AR124" s="1">
        <v>14</v>
      </c>
      <c r="AS124" s="1">
        <v>3</v>
      </c>
      <c r="AT124" s="1">
        <v>15</v>
      </c>
      <c r="AU124" s="1">
        <v>2.5</v>
      </c>
      <c r="AV124" s="1">
        <v>12</v>
      </c>
      <c r="AW124" s="1">
        <v>3</v>
      </c>
      <c r="AX124" s="1">
        <v>14</v>
      </c>
      <c r="AY124" s="1">
        <f t="shared" si="48"/>
        <v>9</v>
      </c>
      <c r="AZ124" s="1">
        <f t="shared" si="48"/>
        <v>26</v>
      </c>
      <c r="BA124" s="1">
        <f t="shared" si="44"/>
        <v>6</v>
      </c>
      <c r="BB124" s="1">
        <v>7</v>
      </c>
      <c r="BC124" s="1">
        <f t="shared" si="47"/>
        <v>29</v>
      </c>
      <c r="BD124" s="1">
        <f t="shared" si="40"/>
        <v>77</v>
      </c>
      <c r="BE124" s="1">
        <f t="shared" si="43"/>
        <v>39</v>
      </c>
      <c r="BF124" s="1"/>
      <c r="BG124" s="1"/>
      <c r="BH124" s="1"/>
      <c r="BI124" s="1"/>
      <c r="BJ124" s="1"/>
      <c r="BK124" s="1"/>
      <c r="BL124" s="1"/>
      <c r="BM124" s="1"/>
      <c r="BN124" s="1"/>
      <c r="BO124" s="1" t="s">
        <v>371</v>
      </c>
      <c r="BP124" s="1" t="s">
        <v>371</v>
      </c>
      <c r="BQ124" s="50">
        <f t="shared" si="27"/>
        <v>0</v>
      </c>
      <c r="BR124" s="45">
        <f t="shared" si="41"/>
        <v>293</v>
      </c>
      <c r="BS124" s="70">
        <f t="shared" si="42"/>
        <v>48.833333333333336</v>
      </c>
      <c r="BT124" s="45" t="str">
        <f t="shared" si="29"/>
        <v>GRADE II</v>
      </c>
      <c r="BU124" s="1"/>
    </row>
    <row r="125" spans="1:73" ht="19.5" x14ac:dyDescent="0.55000000000000004">
      <c r="A125" s="1">
        <v>120</v>
      </c>
      <c r="B125" s="17" t="s">
        <v>253</v>
      </c>
      <c r="C125" s="1">
        <v>0</v>
      </c>
      <c r="D125" s="1">
        <v>13</v>
      </c>
      <c r="E125" s="1">
        <v>11</v>
      </c>
      <c r="F125" s="1">
        <v>14</v>
      </c>
      <c r="G125" s="1">
        <v>38</v>
      </c>
      <c r="H125" s="1">
        <f t="shared" si="30"/>
        <v>76</v>
      </c>
      <c r="I125" s="1">
        <f t="shared" si="31"/>
        <v>38</v>
      </c>
      <c r="J125" s="1"/>
      <c r="K125" s="1">
        <v>12</v>
      </c>
      <c r="L125" s="1">
        <v>19</v>
      </c>
      <c r="M125" s="1">
        <v>11</v>
      </c>
      <c r="N125" s="1">
        <v>14</v>
      </c>
      <c r="O125" s="1">
        <v>28</v>
      </c>
      <c r="P125" s="1">
        <f t="shared" si="32"/>
        <v>84</v>
      </c>
      <c r="Q125" s="1">
        <f t="shared" si="33"/>
        <v>42</v>
      </c>
      <c r="R125" s="1"/>
      <c r="S125" s="1">
        <v>16</v>
      </c>
      <c r="T125" s="1">
        <v>25</v>
      </c>
      <c r="U125" s="1">
        <v>11</v>
      </c>
      <c r="V125" s="1">
        <v>18</v>
      </c>
      <c r="W125" s="1">
        <v>35</v>
      </c>
      <c r="X125" s="1">
        <f t="shared" si="34"/>
        <v>105</v>
      </c>
      <c r="Y125" s="1">
        <f t="shared" si="35"/>
        <v>53</v>
      </c>
      <c r="Z125" s="1"/>
      <c r="AA125" s="1">
        <v>3</v>
      </c>
      <c r="AB125" s="1">
        <v>8</v>
      </c>
      <c r="AC125" s="1">
        <v>9</v>
      </c>
      <c r="AD125" s="1">
        <v>17</v>
      </c>
      <c r="AE125" s="1">
        <v>22</v>
      </c>
      <c r="AF125" s="1">
        <f t="shared" si="36"/>
        <v>59</v>
      </c>
      <c r="AG125" s="1">
        <f t="shared" si="37"/>
        <v>30</v>
      </c>
      <c r="AH125" s="1">
        <v>5</v>
      </c>
      <c r="AI125" s="1">
        <v>13</v>
      </c>
      <c r="AJ125" s="1">
        <v>27</v>
      </c>
      <c r="AK125" s="1">
        <v>12</v>
      </c>
      <c r="AL125" s="1">
        <v>19</v>
      </c>
      <c r="AM125" s="1">
        <v>39</v>
      </c>
      <c r="AN125" s="1">
        <f t="shared" si="38"/>
        <v>110</v>
      </c>
      <c r="AO125" s="1">
        <f t="shared" si="39"/>
        <v>55</v>
      </c>
      <c r="AP125" s="1"/>
      <c r="AQ125" s="1">
        <v>2</v>
      </c>
      <c r="AR125" s="1">
        <v>2</v>
      </c>
      <c r="AS125" s="1">
        <v>2</v>
      </c>
      <c r="AT125" s="1">
        <v>8</v>
      </c>
      <c r="AU125" s="1">
        <v>0</v>
      </c>
      <c r="AV125" s="1">
        <v>3</v>
      </c>
      <c r="AW125" s="1">
        <v>1</v>
      </c>
      <c r="AX125" s="1">
        <v>14</v>
      </c>
      <c r="AY125" s="1">
        <f t="shared" si="48"/>
        <v>2</v>
      </c>
      <c r="AZ125" s="1">
        <f t="shared" si="48"/>
        <v>5</v>
      </c>
      <c r="BA125" s="1">
        <f t="shared" si="44"/>
        <v>3</v>
      </c>
      <c r="BB125" s="1">
        <v>17</v>
      </c>
      <c r="BC125" s="1">
        <f t="shared" si="47"/>
        <v>22</v>
      </c>
      <c r="BD125" s="1">
        <f t="shared" si="40"/>
        <v>49</v>
      </c>
      <c r="BE125" s="1">
        <f t="shared" si="43"/>
        <v>25</v>
      </c>
      <c r="BF125" s="1">
        <v>10</v>
      </c>
      <c r="BG125" s="1"/>
      <c r="BH125" s="1"/>
      <c r="BI125" s="1"/>
      <c r="BJ125" s="1"/>
      <c r="BK125" s="1"/>
      <c r="BL125" s="1"/>
      <c r="BM125" s="1"/>
      <c r="BN125" s="1"/>
      <c r="BO125" s="1" t="s">
        <v>371</v>
      </c>
      <c r="BP125" s="1" t="s">
        <v>372</v>
      </c>
      <c r="BQ125" s="50">
        <f t="shared" si="27"/>
        <v>15</v>
      </c>
      <c r="BR125" s="45">
        <f t="shared" si="41"/>
        <v>243</v>
      </c>
      <c r="BS125" s="70">
        <f t="shared" si="42"/>
        <v>40.5</v>
      </c>
      <c r="BT125" s="45" t="s">
        <v>375</v>
      </c>
      <c r="BU125" s="1"/>
    </row>
    <row r="126" spans="1:73" x14ac:dyDescent="0.25"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</row>
    <row r="127" spans="1:73" x14ac:dyDescent="0.25"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</row>
    <row r="128" spans="1:73" x14ac:dyDescent="0.25"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</row>
    <row r="129" spans="3:73" x14ac:dyDescent="0.25"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</row>
    <row r="130" spans="3:73" x14ac:dyDescent="0.25"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</row>
    <row r="131" spans="3:73" x14ac:dyDescent="0.25"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</row>
    <row r="132" spans="3:73" x14ac:dyDescent="0.25"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</row>
    <row r="133" spans="3:73" x14ac:dyDescent="0.25"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</row>
    <row r="134" spans="3:73" x14ac:dyDescent="0.25"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</row>
    <row r="135" spans="3:73" x14ac:dyDescent="0.25"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</row>
    <row r="136" spans="3:73" x14ac:dyDescent="0.25"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</row>
    <row r="137" spans="3:73" x14ac:dyDescent="0.25"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</row>
    <row r="138" spans="3:73" x14ac:dyDescent="0.25"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</row>
    <row r="139" spans="3:73" x14ac:dyDescent="0.25"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</row>
    <row r="140" spans="3:73" x14ac:dyDescent="0.25"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</row>
    <row r="141" spans="3:73" x14ac:dyDescent="0.25"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</row>
    <row r="142" spans="3:73" x14ac:dyDescent="0.25"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</row>
    <row r="143" spans="3:73" x14ac:dyDescent="0.25"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</row>
    <row r="144" spans="3:73" x14ac:dyDescent="0.25"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</row>
    <row r="145" spans="3:73" x14ac:dyDescent="0.25"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</row>
    <row r="146" spans="3:73" x14ac:dyDescent="0.25"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</row>
    <row r="147" spans="3:73" x14ac:dyDescent="0.25"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</row>
    <row r="148" spans="3:73" x14ac:dyDescent="0.25"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</row>
    <row r="149" spans="3:73" x14ac:dyDescent="0.25"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</row>
    <row r="150" spans="3:73" x14ac:dyDescent="0.25"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</row>
    <row r="151" spans="3:73" x14ac:dyDescent="0.25"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</row>
    <row r="152" spans="3:73" x14ac:dyDescent="0.25"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</row>
    <row r="153" spans="3:73" x14ac:dyDescent="0.25"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</row>
    <row r="154" spans="3:73" x14ac:dyDescent="0.25"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</row>
    <row r="155" spans="3:73" x14ac:dyDescent="0.25"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</row>
    <row r="156" spans="3:73" x14ac:dyDescent="0.25"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</row>
    <row r="157" spans="3:73" x14ac:dyDescent="0.25"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</row>
    <row r="158" spans="3:73" x14ac:dyDescent="0.25"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</row>
    <row r="159" spans="3:73" x14ac:dyDescent="0.25"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</row>
    <row r="160" spans="3:73" x14ac:dyDescent="0.25"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</row>
    <row r="161" spans="3:73" x14ac:dyDescent="0.25"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</row>
    <row r="162" spans="3:73" x14ac:dyDescent="0.25"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</row>
    <row r="163" spans="3:73" x14ac:dyDescent="0.25"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</row>
    <row r="164" spans="3:73" x14ac:dyDescent="0.25"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</row>
    <row r="165" spans="3:73" x14ac:dyDescent="0.25"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</row>
    <row r="166" spans="3:73" x14ac:dyDescent="0.25"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</row>
    <row r="167" spans="3:73" x14ac:dyDescent="0.25"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</row>
    <row r="168" spans="3:73" x14ac:dyDescent="0.25"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</row>
    <row r="169" spans="3:73" x14ac:dyDescent="0.25"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</row>
    <row r="170" spans="3:73" x14ac:dyDescent="0.25"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</row>
    <row r="171" spans="3:73" x14ac:dyDescent="0.25"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</row>
    <row r="172" spans="3:73" x14ac:dyDescent="0.25"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</row>
    <row r="173" spans="3:73" x14ac:dyDescent="0.25"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</row>
    <row r="174" spans="3:73" x14ac:dyDescent="0.25"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</row>
    <row r="175" spans="3:73" x14ac:dyDescent="0.25"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</row>
    <row r="176" spans="3:73" x14ac:dyDescent="0.25"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</row>
    <row r="177" spans="3:73" x14ac:dyDescent="0.25"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</row>
    <row r="178" spans="3:73" x14ac:dyDescent="0.25"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</row>
    <row r="179" spans="3:73" x14ac:dyDescent="0.25"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</row>
    <row r="180" spans="3:73" x14ac:dyDescent="0.25"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</row>
    <row r="181" spans="3:73" x14ac:dyDescent="0.25"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</row>
    <row r="182" spans="3:73" x14ac:dyDescent="0.25"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</row>
    <row r="183" spans="3:73" x14ac:dyDescent="0.25"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</row>
    <row r="184" spans="3:73" x14ac:dyDescent="0.25"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</row>
    <row r="185" spans="3:73" x14ac:dyDescent="0.25"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</row>
    <row r="186" spans="3:73" x14ac:dyDescent="0.25"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</row>
    <row r="187" spans="3:73" x14ac:dyDescent="0.25"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</row>
    <row r="188" spans="3:73" x14ac:dyDescent="0.25"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</row>
    <row r="189" spans="3:73" x14ac:dyDescent="0.25"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</row>
    <row r="190" spans="3:73" x14ac:dyDescent="0.25"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</row>
    <row r="191" spans="3:73" x14ac:dyDescent="0.25"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</row>
    <row r="192" spans="3:73" x14ac:dyDescent="0.25"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</row>
    <row r="193" spans="3:73" x14ac:dyDescent="0.25"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</row>
    <row r="194" spans="3:73" x14ac:dyDescent="0.25"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</row>
    <row r="195" spans="3:73" x14ac:dyDescent="0.25"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</row>
    <row r="196" spans="3:73" x14ac:dyDescent="0.25"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</row>
    <row r="197" spans="3:73" x14ac:dyDescent="0.25"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</row>
    <row r="198" spans="3:73" x14ac:dyDescent="0.25"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</row>
    <row r="199" spans="3:73" x14ac:dyDescent="0.25"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</row>
    <row r="200" spans="3:73" x14ac:dyDescent="0.25"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</row>
    <row r="201" spans="3:73" x14ac:dyDescent="0.25"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</row>
    <row r="202" spans="3:73" x14ac:dyDescent="0.25"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</row>
    <row r="203" spans="3:73" x14ac:dyDescent="0.25"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</row>
    <row r="204" spans="3:73" x14ac:dyDescent="0.25"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</row>
    <row r="205" spans="3:73" x14ac:dyDescent="0.25"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</row>
    <row r="206" spans="3:73" x14ac:dyDescent="0.25"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</row>
    <row r="207" spans="3:73" x14ac:dyDescent="0.25"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</row>
    <row r="208" spans="3:73" x14ac:dyDescent="0.25"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</row>
    <row r="209" spans="3:73" x14ac:dyDescent="0.25"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</row>
    <row r="210" spans="3:73" x14ac:dyDescent="0.25"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</row>
    <row r="211" spans="3:73" x14ac:dyDescent="0.25"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</row>
    <row r="212" spans="3:73" x14ac:dyDescent="0.25"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</row>
    <row r="213" spans="3:73" x14ac:dyDescent="0.25"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</row>
    <row r="214" spans="3:73" x14ac:dyDescent="0.25"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</row>
    <row r="215" spans="3:73" x14ac:dyDescent="0.25"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</row>
    <row r="216" spans="3:73" x14ac:dyDescent="0.25"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</row>
    <row r="217" spans="3:73" x14ac:dyDescent="0.25"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</row>
    <row r="218" spans="3:73" x14ac:dyDescent="0.25"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</row>
    <row r="219" spans="3:73" x14ac:dyDescent="0.25"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</row>
    <row r="220" spans="3:73" x14ac:dyDescent="0.25"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</row>
    <row r="221" spans="3:73" x14ac:dyDescent="0.25"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</row>
    <row r="222" spans="3:73" x14ac:dyDescent="0.25"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</row>
    <row r="223" spans="3:73" x14ac:dyDescent="0.25"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</row>
    <row r="224" spans="3:73" x14ac:dyDescent="0.25"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</row>
    <row r="225" spans="3:73" x14ac:dyDescent="0.25"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</row>
    <row r="226" spans="3:73" x14ac:dyDescent="0.25"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</row>
    <row r="227" spans="3:73" x14ac:dyDescent="0.25"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</row>
    <row r="228" spans="3:73" x14ac:dyDescent="0.25"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</row>
    <row r="229" spans="3:73" x14ac:dyDescent="0.25"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</row>
    <row r="230" spans="3:73" x14ac:dyDescent="0.25"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</row>
    <row r="231" spans="3:73" x14ac:dyDescent="0.25"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</row>
    <row r="232" spans="3:73" x14ac:dyDescent="0.25"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</row>
    <row r="233" spans="3:73" x14ac:dyDescent="0.25"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</row>
    <row r="234" spans="3:73" x14ac:dyDescent="0.25"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</row>
    <row r="235" spans="3:73" x14ac:dyDescent="0.25"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</row>
    <row r="236" spans="3:73" x14ac:dyDescent="0.25"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</row>
    <row r="237" spans="3:73" x14ac:dyDescent="0.25"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</row>
    <row r="238" spans="3:73" x14ac:dyDescent="0.25"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</row>
    <row r="239" spans="3:73" x14ac:dyDescent="0.25"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</row>
  </sheetData>
  <mergeCells count="11">
    <mergeCell ref="BG3:BN3"/>
    <mergeCell ref="A1:AY1"/>
    <mergeCell ref="A2:AY2"/>
    <mergeCell ref="C3:J3"/>
    <mergeCell ref="K3:R3"/>
    <mergeCell ref="S3:Z3"/>
    <mergeCell ref="AI3:AK3"/>
    <mergeCell ref="AA3:AH3"/>
    <mergeCell ref="AQ3:AT3"/>
    <mergeCell ref="AU3:AX3"/>
    <mergeCell ref="AY3:BF3"/>
  </mergeCells>
  <conditionalFormatting sqref="I6:I125">
    <cfRule type="cellIs" dxfId="21" priority="9" operator="lessThan">
      <formula>35</formula>
    </cfRule>
  </conditionalFormatting>
  <conditionalFormatting sqref="Q6:Q125">
    <cfRule type="cellIs" dxfId="20" priority="8" operator="lessThan">
      <formula>35</formula>
    </cfRule>
  </conditionalFormatting>
  <conditionalFormatting sqref="Y6:Y125">
    <cfRule type="cellIs" dxfId="19" priority="7" operator="lessThan">
      <formula>35</formula>
    </cfRule>
  </conditionalFormatting>
  <conditionalFormatting sqref="AG5:AG125">
    <cfRule type="cellIs" dxfId="18" priority="4" operator="lessThan">
      <formula>35</formula>
    </cfRule>
  </conditionalFormatting>
  <conditionalFormatting sqref="AO6:AO125">
    <cfRule type="cellIs" dxfId="17" priority="6" operator="lessThan">
      <formula>35</formula>
    </cfRule>
  </conditionalFormatting>
  <conditionalFormatting sqref="BE5:BE125">
    <cfRule type="cellIs" dxfId="16" priority="1" operator="lessThan">
      <formula>35</formula>
    </cfRule>
  </conditionalFormatting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66EB-A368-44C2-ADF1-5FA094F5BB4B}">
  <dimension ref="A1:Q11"/>
  <sheetViews>
    <sheetView workbookViewId="0">
      <selection activeCell="G15" sqref="G15"/>
    </sheetView>
  </sheetViews>
  <sheetFormatPr defaultRowHeight="15" x14ac:dyDescent="0.25"/>
  <cols>
    <col min="2" max="2" width="27.7109375" customWidth="1"/>
    <col min="3" max="5" width="5.7109375" customWidth="1"/>
    <col min="6" max="6" width="6.42578125" customWidth="1"/>
    <col min="7" max="15" width="5.7109375" customWidth="1"/>
    <col min="16" max="16" width="8.7109375" customWidth="1"/>
    <col min="17" max="17" width="5.7109375" style="128" customWidth="1"/>
    <col min="18" max="18" width="5.7109375" customWidth="1"/>
  </cols>
  <sheetData>
    <row r="1" spans="1:17" x14ac:dyDescent="0.25">
      <c r="A1" s="179" t="s">
        <v>251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x14ac:dyDescent="0.25">
      <c r="A2" s="180" t="s">
        <v>411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</row>
    <row r="3" spans="1:17" ht="51" x14ac:dyDescent="0.25">
      <c r="A3" s="129" t="s">
        <v>0</v>
      </c>
      <c r="B3" s="21" t="s">
        <v>250</v>
      </c>
      <c r="C3" s="130" t="s">
        <v>284</v>
      </c>
      <c r="D3" s="131" t="s">
        <v>406</v>
      </c>
      <c r="E3" s="130" t="s">
        <v>405</v>
      </c>
      <c r="F3" s="130" t="s">
        <v>407</v>
      </c>
      <c r="G3" s="132" t="s">
        <v>288</v>
      </c>
      <c r="H3" s="132" t="s">
        <v>408</v>
      </c>
      <c r="I3" s="130" t="s">
        <v>302</v>
      </c>
      <c r="J3" s="130" t="s">
        <v>409</v>
      </c>
      <c r="K3" s="130" t="s">
        <v>307</v>
      </c>
      <c r="L3" s="130" t="s">
        <v>410</v>
      </c>
      <c r="M3" s="130" t="s">
        <v>320</v>
      </c>
      <c r="N3" s="130" t="s">
        <v>321</v>
      </c>
      <c r="O3" s="133" t="s">
        <v>337</v>
      </c>
      <c r="P3" s="133" t="s">
        <v>338</v>
      </c>
      <c r="Q3" s="134" t="s">
        <v>339</v>
      </c>
    </row>
    <row r="4" spans="1:17" ht="21.95" customHeight="1" x14ac:dyDescent="0.25">
      <c r="A4" s="135" t="s">
        <v>397</v>
      </c>
      <c r="B4" s="136" t="s">
        <v>178</v>
      </c>
      <c r="C4" s="137">
        <v>15</v>
      </c>
      <c r="D4" s="138"/>
      <c r="E4" s="137">
        <v>27</v>
      </c>
      <c r="F4" s="137"/>
      <c r="G4" s="139">
        <v>16</v>
      </c>
      <c r="H4" s="140"/>
      <c r="I4" s="137">
        <v>11</v>
      </c>
      <c r="J4" s="138"/>
      <c r="K4" s="137">
        <v>15</v>
      </c>
      <c r="L4" s="138"/>
      <c r="M4" s="137">
        <v>12</v>
      </c>
      <c r="N4" s="137"/>
      <c r="O4" s="141">
        <v>96</v>
      </c>
      <c r="P4" s="142">
        <v>16</v>
      </c>
      <c r="Q4" s="137" t="s">
        <v>396</v>
      </c>
    </row>
    <row r="5" spans="1:17" ht="21.95" customHeight="1" x14ac:dyDescent="0.25">
      <c r="A5" s="135" t="s">
        <v>398</v>
      </c>
      <c r="B5" s="136" t="s">
        <v>200</v>
      </c>
      <c r="C5" s="137">
        <v>32</v>
      </c>
      <c r="D5" s="138"/>
      <c r="E5" s="137">
        <v>27</v>
      </c>
      <c r="F5" s="137"/>
      <c r="G5" s="139">
        <v>34</v>
      </c>
      <c r="H5" s="140"/>
      <c r="I5" s="137">
        <v>19</v>
      </c>
      <c r="J5" s="138"/>
      <c r="K5" s="137">
        <v>23</v>
      </c>
      <c r="L5" s="138"/>
      <c r="M5" s="137">
        <v>15</v>
      </c>
      <c r="N5" s="137"/>
      <c r="O5" s="141">
        <v>150</v>
      </c>
      <c r="P5" s="142">
        <v>25</v>
      </c>
      <c r="Q5" s="137" t="s">
        <v>396</v>
      </c>
    </row>
    <row r="6" spans="1:17" ht="21.95" customHeight="1" x14ac:dyDescent="0.25">
      <c r="A6" s="135" t="s">
        <v>399</v>
      </c>
      <c r="B6" s="136" t="s">
        <v>232</v>
      </c>
      <c r="C6" s="137">
        <v>32</v>
      </c>
      <c r="D6" s="138"/>
      <c r="E6" s="137">
        <v>38</v>
      </c>
      <c r="F6" s="137"/>
      <c r="G6" s="139">
        <v>31</v>
      </c>
      <c r="H6" s="140"/>
      <c r="I6" s="137">
        <v>19</v>
      </c>
      <c r="J6" s="138"/>
      <c r="K6" s="137">
        <v>25</v>
      </c>
      <c r="L6" s="138"/>
      <c r="M6" s="137">
        <v>25</v>
      </c>
      <c r="N6" s="137"/>
      <c r="O6" s="141">
        <v>170</v>
      </c>
      <c r="P6" s="142">
        <v>28.333333333333332</v>
      </c>
      <c r="Q6" s="137" t="s">
        <v>396</v>
      </c>
    </row>
    <row r="7" spans="1:17" ht="21.95" customHeight="1" x14ac:dyDescent="0.25">
      <c r="A7" s="135" t="s">
        <v>400</v>
      </c>
      <c r="B7" s="143" t="s">
        <v>241</v>
      </c>
      <c r="C7" s="137">
        <v>22</v>
      </c>
      <c r="D7" s="138"/>
      <c r="E7" s="137">
        <v>31</v>
      </c>
      <c r="F7" s="137"/>
      <c r="G7" s="139">
        <v>27</v>
      </c>
      <c r="H7" s="140"/>
      <c r="I7" s="137">
        <v>20</v>
      </c>
      <c r="J7" s="138"/>
      <c r="K7" s="137">
        <v>28</v>
      </c>
      <c r="L7" s="138"/>
      <c r="M7" s="137">
        <v>12</v>
      </c>
      <c r="N7" s="137"/>
      <c r="O7" s="141">
        <v>140</v>
      </c>
      <c r="P7" s="142">
        <v>23.333333333333332</v>
      </c>
      <c r="Q7" s="137" t="s">
        <v>396</v>
      </c>
    </row>
    <row r="8" spans="1:17" ht="21.95" customHeight="1" x14ac:dyDescent="0.25">
      <c r="A8" s="135" t="s">
        <v>401</v>
      </c>
      <c r="B8" s="136" t="s">
        <v>246</v>
      </c>
      <c r="C8" s="137">
        <v>37</v>
      </c>
      <c r="D8" s="138"/>
      <c r="E8" s="137">
        <v>23</v>
      </c>
      <c r="F8" s="137"/>
      <c r="G8" s="139">
        <v>39</v>
      </c>
      <c r="H8" s="140"/>
      <c r="I8" s="137">
        <v>20</v>
      </c>
      <c r="J8" s="138"/>
      <c r="K8" s="137">
        <v>34</v>
      </c>
      <c r="L8" s="138"/>
      <c r="M8" s="137">
        <v>14</v>
      </c>
      <c r="N8" s="137"/>
      <c r="O8" s="141">
        <v>167</v>
      </c>
      <c r="P8" s="142">
        <v>27.833333333333332</v>
      </c>
      <c r="Q8" s="137" t="s">
        <v>396</v>
      </c>
    </row>
    <row r="9" spans="1:17" ht="21.95" customHeight="1" x14ac:dyDescent="0.25">
      <c r="A9" s="137" t="s">
        <v>402</v>
      </c>
      <c r="B9" s="144" t="s">
        <v>16</v>
      </c>
      <c r="C9" s="137">
        <v>30</v>
      </c>
      <c r="D9" s="137"/>
      <c r="E9" s="137">
        <v>31</v>
      </c>
      <c r="F9" s="137"/>
      <c r="G9" s="137">
        <v>32</v>
      </c>
      <c r="H9" s="137"/>
      <c r="I9" s="137">
        <v>26</v>
      </c>
      <c r="J9" s="137"/>
      <c r="K9" s="137">
        <v>27</v>
      </c>
      <c r="L9" s="137"/>
      <c r="M9" s="137">
        <v>22</v>
      </c>
      <c r="N9" s="137"/>
      <c r="O9" s="137">
        <f>SUM(C9:N9)</f>
        <v>168</v>
      </c>
      <c r="P9" s="145">
        <f>168/6</f>
        <v>28</v>
      </c>
      <c r="Q9" s="137" t="s">
        <v>396</v>
      </c>
    </row>
    <row r="10" spans="1:17" ht="21.95" customHeight="1" x14ac:dyDescent="0.25">
      <c r="A10" s="137" t="s">
        <v>403</v>
      </c>
      <c r="B10" s="144" t="s">
        <v>20</v>
      </c>
      <c r="C10" s="137">
        <v>36</v>
      </c>
      <c r="D10" s="137"/>
      <c r="E10" s="137">
        <v>31</v>
      </c>
      <c r="F10" s="137"/>
      <c r="G10" s="137">
        <v>36</v>
      </c>
      <c r="H10" s="137"/>
      <c r="I10" s="137">
        <v>16</v>
      </c>
      <c r="J10" s="137"/>
      <c r="K10" s="137">
        <v>27</v>
      </c>
      <c r="L10" s="137"/>
      <c r="M10" s="137">
        <v>18</v>
      </c>
      <c r="N10" s="137"/>
      <c r="O10" s="137">
        <v>164</v>
      </c>
      <c r="P10" s="145">
        <v>27.333333333333332</v>
      </c>
      <c r="Q10" s="137" t="s">
        <v>396</v>
      </c>
    </row>
    <row r="11" spans="1:17" ht="21.95" customHeight="1" x14ac:dyDescent="0.25">
      <c r="A11" s="137" t="s">
        <v>404</v>
      </c>
      <c r="B11" s="146" t="s">
        <v>121</v>
      </c>
      <c r="C11" s="137">
        <v>34</v>
      </c>
      <c r="D11" s="137"/>
      <c r="E11" s="137">
        <v>29</v>
      </c>
      <c r="F11" s="137"/>
      <c r="G11" s="137">
        <v>27</v>
      </c>
      <c r="H11" s="137"/>
      <c r="I11" s="137">
        <v>16</v>
      </c>
      <c r="J11" s="137"/>
      <c r="K11" s="137">
        <v>28</v>
      </c>
      <c r="L11" s="137"/>
      <c r="M11" s="137">
        <v>19</v>
      </c>
      <c r="N11" s="137"/>
      <c r="O11" s="137">
        <v>153</v>
      </c>
      <c r="P11" s="145">
        <v>25.5</v>
      </c>
      <c r="Q11" s="137" t="s">
        <v>396</v>
      </c>
    </row>
  </sheetData>
  <mergeCells count="2">
    <mergeCell ref="A1:Q1"/>
    <mergeCell ref="A2:Q2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92DD-E17A-499D-83AF-3A2D25C1EF3C}">
  <dimension ref="A1:R125"/>
  <sheetViews>
    <sheetView workbookViewId="0">
      <selection activeCell="A114" sqref="A114:XFD114"/>
    </sheetView>
  </sheetViews>
  <sheetFormatPr defaultRowHeight="15" x14ac:dyDescent="0.25"/>
  <cols>
    <col min="1" max="1" width="4.85546875" style="4" customWidth="1"/>
    <col min="2" max="2" width="29.140625" style="68" customWidth="1"/>
    <col min="3" max="3" width="5.140625" style="4" customWidth="1"/>
    <col min="4" max="4" width="4.7109375" style="4" customWidth="1"/>
    <col min="5" max="6" width="4.5703125" style="4" customWidth="1"/>
    <col min="7" max="8" width="4.28515625" style="4" customWidth="1"/>
    <col min="9" max="12" width="4.42578125" style="4" customWidth="1"/>
    <col min="13" max="14" width="4.7109375" style="4" customWidth="1"/>
    <col min="15" max="16" width="5.140625" style="4" customWidth="1"/>
    <col min="17" max="17" width="6.5703125" style="4" customWidth="1"/>
    <col min="18" max="18" width="18.5703125" style="75" customWidth="1"/>
    <col min="19" max="16384" width="9.140625" style="4"/>
  </cols>
  <sheetData>
    <row r="1" spans="1:18" x14ac:dyDescent="0.25">
      <c r="A1" s="181" t="s">
        <v>267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</row>
    <row r="2" spans="1:18" x14ac:dyDescent="0.25">
      <c r="A2" s="181" t="s">
        <v>359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</row>
    <row r="3" spans="1:18" x14ac:dyDescent="0.25">
      <c r="A3" s="182" t="s">
        <v>360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</row>
    <row r="4" spans="1:18" ht="60" x14ac:dyDescent="0.3">
      <c r="A4" s="20" t="s">
        <v>0</v>
      </c>
      <c r="B4" s="64" t="s">
        <v>250</v>
      </c>
      <c r="C4" s="69" t="s">
        <v>351</v>
      </c>
      <c r="D4" s="69" t="s">
        <v>361</v>
      </c>
      <c r="E4" s="69" t="s">
        <v>358</v>
      </c>
      <c r="F4" s="69" t="s">
        <v>362</v>
      </c>
      <c r="G4" s="69" t="s">
        <v>352</v>
      </c>
      <c r="H4" s="69" t="s">
        <v>363</v>
      </c>
      <c r="I4" s="69" t="s">
        <v>353</v>
      </c>
      <c r="J4" s="69" t="s">
        <v>364</v>
      </c>
      <c r="K4" s="69" t="s">
        <v>354</v>
      </c>
      <c r="L4" s="69" t="s">
        <v>365</v>
      </c>
      <c r="M4" s="69" t="s">
        <v>355</v>
      </c>
      <c r="N4" s="69" t="s">
        <v>366</v>
      </c>
      <c r="O4" s="69" t="s">
        <v>337</v>
      </c>
      <c r="P4" s="69" t="s">
        <v>381</v>
      </c>
      <c r="Q4" s="69" t="s">
        <v>356</v>
      </c>
      <c r="R4" s="71" t="s">
        <v>339</v>
      </c>
    </row>
    <row r="5" spans="1:18" ht="17.25" x14ac:dyDescent="0.3">
      <c r="A5" s="20"/>
      <c r="B5" s="64"/>
      <c r="C5" s="28">
        <v>100</v>
      </c>
      <c r="D5" s="28"/>
      <c r="E5" s="28">
        <v>100</v>
      </c>
      <c r="F5" s="28"/>
      <c r="G5" s="28">
        <v>100</v>
      </c>
      <c r="H5" s="28"/>
      <c r="I5" s="28">
        <v>100</v>
      </c>
      <c r="J5" s="28"/>
      <c r="K5" s="28">
        <v>100</v>
      </c>
      <c r="L5" s="28"/>
      <c r="M5" s="28">
        <v>100</v>
      </c>
      <c r="N5" s="28"/>
      <c r="O5" s="28">
        <v>600</v>
      </c>
      <c r="P5" s="28"/>
      <c r="Q5" s="28"/>
      <c r="R5" s="73"/>
    </row>
    <row r="6" spans="1:18" ht="15.95" customHeight="1" x14ac:dyDescent="0.25">
      <c r="A6" s="61">
        <v>1</v>
      </c>
      <c r="B6" s="65" t="s">
        <v>128</v>
      </c>
      <c r="C6" s="62">
        <f>DIV_A!I6</f>
        <v>76</v>
      </c>
      <c r="D6" s="62"/>
      <c r="E6" s="62">
        <f>DIV_A!Q6</f>
        <v>84</v>
      </c>
      <c r="F6" s="62"/>
      <c r="G6" s="62">
        <f>DIV_A!Y6</f>
        <v>89</v>
      </c>
      <c r="H6" s="62"/>
      <c r="I6" s="62">
        <f>DIV_A!AG6</f>
        <v>77</v>
      </c>
      <c r="J6" s="62"/>
      <c r="K6" s="62">
        <f>DIV_A!AO6</f>
        <v>92</v>
      </c>
      <c r="L6" s="62"/>
      <c r="M6" s="62">
        <f>DIV_A!BE6</f>
        <v>78</v>
      </c>
      <c r="N6" s="62"/>
      <c r="O6" s="62">
        <f>DIV_A!BR6</f>
        <v>496</v>
      </c>
      <c r="P6" s="62"/>
      <c r="Q6" s="63">
        <f>DIV_A!BS6</f>
        <v>82.666666666666671</v>
      </c>
      <c r="R6" s="74" t="str">
        <f>DIV_A!BT6</f>
        <v>GRADE I with Distinction</v>
      </c>
    </row>
    <row r="7" spans="1:18" ht="15.95" customHeight="1" x14ac:dyDescent="0.25">
      <c r="A7" s="61">
        <v>2</v>
      </c>
      <c r="B7" s="65" t="s">
        <v>129</v>
      </c>
      <c r="C7" s="62">
        <f>DIV_A!I7</f>
        <v>70</v>
      </c>
      <c r="D7" s="62"/>
      <c r="E7" s="62">
        <f>DIV_A!Q7</f>
        <v>87</v>
      </c>
      <c r="F7" s="62"/>
      <c r="G7" s="62">
        <f>DIV_A!Y7</f>
        <v>91</v>
      </c>
      <c r="H7" s="62"/>
      <c r="I7" s="62">
        <f>DIV_A!AG7</f>
        <v>75</v>
      </c>
      <c r="J7" s="62"/>
      <c r="K7" s="62">
        <f>DIV_A!AO7</f>
        <v>82</v>
      </c>
      <c r="L7" s="62"/>
      <c r="M7" s="62">
        <f>DIV_A!BE7</f>
        <v>92</v>
      </c>
      <c r="N7" s="62"/>
      <c r="O7" s="62">
        <f>DIV_A!BR7</f>
        <v>497</v>
      </c>
      <c r="P7" s="62"/>
      <c r="Q7" s="63">
        <f>DIV_A!BS7</f>
        <v>82.833333333333329</v>
      </c>
      <c r="R7" s="74" t="str">
        <f>DIV_A!BT7</f>
        <v>GRADE I with Distinction</v>
      </c>
    </row>
    <row r="8" spans="1:18" ht="15.95" customHeight="1" x14ac:dyDescent="0.25">
      <c r="A8" s="61">
        <v>3</v>
      </c>
      <c r="B8" s="65" t="s">
        <v>130</v>
      </c>
      <c r="C8" s="62">
        <f>DIV_A!I8</f>
        <v>79</v>
      </c>
      <c r="D8" s="62"/>
      <c r="E8" s="62">
        <f>DIV_A!Q8</f>
        <v>72</v>
      </c>
      <c r="F8" s="62"/>
      <c r="G8" s="62">
        <f>DIV_A!Y8</f>
        <v>92</v>
      </c>
      <c r="H8" s="62"/>
      <c r="I8" s="62">
        <f>DIV_A!AG8</f>
        <v>89</v>
      </c>
      <c r="J8" s="62"/>
      <c r="K8" s="62">
        <f>DIV_A!AO8</f>
        <v>94</v>
      </c>
      <c r="L8" s="62"/>
      <c r="M8" s="62">
        <f>DIV_A!BE8</f>
        <v>87</v>
      </c>
      <c r="N8" s="62"/>
      <c r="O8" s="62">
        <f>DIV_A!BR8</f>
        <v>513</v>
      </c>
      <c r="P8" s="62"/>
      <c r="Q8" s="63">
        <f>DIV_A!BS8</f>
        <v>85.5</v>
      </c>
      <c r="R8" s="74" t="str">
        <f>DIV_A!BT8</f>
        <v>GRADE I with Distinction</v>
      </c>
    </row>
    <row r="9" spans="1:18" ht="15.95" customHeight="1" x14ac:dyDescent="0.25">
      <c r="A9" s="61">
        <v>4</v>
      </c>
      <c r="B9" s="65" t="s">
        <v>131</v>
      </c>
      <c r="C9" s="62">
        <f>DIV_A!I9</f>
        <v>67</v>
      </c>
      <c r="D9" s="62"/>
      <c r="E9" s="62">
        <f>DIV_A!Q9</f>
        <v>72</v>
      </c>
      <c r="F9" s="62"/>
      <c r="G9" s="62">
        <f>DIV_A!Y9</f>
        <v>91</v>
      </c>
      <c r="H9" s="62"/>
      <c r="I9" s="62">
        <f>DIV_A!AG9</f>
        <v>65</v>
      </c>
      <c r="J9" s="62"/>
      <c r="K9" s="62">
        <f>DIV_A!AO9</f>
        <v>92</v>
      </c>
      <c r="L9" s="62"/>
      <c r="M9" s="62">
        <f>DIV_A!BE9</f>
        <v>49</v>
      </c>
      <c r="N9" s="62"/>
      <c r="O9" s="62">
        <f>DIV_A!BR9</f>
        <v>436</v>
      </c>
      <c r="P9" s="62"/>
      <c r="Q9" s="63">
        <f>DIV_A!BS9</f>
        <v>72.666666666666671</v>
      </c>
      <c r="R9" s="74" t="str">
        <f>DIV_A!BT9</f>
        <v>GRADE I</v>
      </c>
    </row>
    <row r="10" spans="1:18" ht="15.95" customHeight="1" x14ac:dyDescent="0.25">
      <c r="A10" s="61">
        <v>5</v>
      </c>
      <c r="B10" s="65" t="s">
        <v>132</v>
      </c>
      <c r="C10" s="62">
        <f>DIV_A!I10</f>
        <v>65</v>
      </c>
      <c r="D10" s="62"/>
      <c r="E10" s="62">
        <f>DIV_A!Q10</f>
        <v>65</v>
      </c>
      <c r="F10" s="62"/>
      <c r="G10" s="62">
        <f>DIV_A!Y10</f>
        <v>76</v>
      </c>
      <c r="H10" s="62"/>
      <c r="I10" s="62">
        <f>DIV_A!AG10</f>
        <v>73</v>
      </c>
      <c r="J10" s="62"/>
      <c r="K10" s="62">
        <f>DIV_A!AO10</f>
        <v>74</v>
      </c>
      <c r="L10" s="62"/>
      <c r="M10" s="62">
        <f>DIV_A!BE10</f>
        <v>67</v>
      </c>
      <c r="N10" s="62"/>
      <c r="O10" s="62">
        <f>DIV_A!BR10</f>
        <v>420</v>
      </c>
      <c r="P10" s="62"/>
      <c r="Q10" s="63">
        <f>DIV_A!BS10</f>
        <v>70</v>
      </c>
      <c r="R10" s="74" t="str">
        <f>DIV_A!BT10</f>
        <v>GRADE I</v>
      </c>
    </row>
    <row r="11" spans="1:18" ht="16.5" customHeight="1" x14ac:dyDescent="0.25">
      <c r="A11" s="61">
        <v>6</v>
      </c>
      <c r="B11" s="65" t="s">
        <v>133</v>
      </c>
      <c r="C11" s="62">
        <f>DIV_A!I11</f>
        <v>63</v>
      </c>
      <c r="D11" s="62"/>
      <c r="E11" s="62">
        <f>DIV_A!Q11</f>
        <v>74</v>
      </c>
      <c r="F11" s="62"/>
      <c r="G11" s="62">
        <f>DIV_A!Y11</f>
        <v>82</v>
      </c>
      <c r="H11" s="62"/>
      <c r="I11" s="62">
        <f>DIV_A!AG11</f>
        <v>64</v>
      </c>
      <c r="J11" s="62"/>
      <c r="K11" s="62">
        <f>DIV_A!AO11</f>
        <v>83</v>
      </c>
      <c r="L11" s="62"/>
      <c r="M11" s="62">
        <f>DIV_A!BE11</f>
        <v>53</v>
      </c>
      <c r="N11" s="62"/>
      <c r="O11" s="62">
        <f>DIV_A!BR11</f>
        <v>419</v>
      </c>
      <c r="P11" s="62"/>
      <c r="Q11" s="63">
        <f>DIV_A!BS11</f>
        <v>69.833333333333329</v>
      </c>
      <c r="R11" s="74" t="str">
        <f>DIV_A!BT11</f>
        <v>GRADE I</v>
      </c>
    </row>
    <row r="12" spans="1:18" ht="15.95" customHeight="1" x14ac:dyDescent="0.25">
      <c r="A12" s="61">
        <v>7</v>
      </c>
      <c r="B12" s="65" t="s">
        <v>134</v>
      </c>
      <c r="C12" s="62">
        <f>DIV_A!I12</f>
        <v>67</v>
      </c>
      <c r="D12" s="62"/>
      <c r="E12" s="62">
        <f>DIV_A!Q12</f>
        <v>66</v>
      </c>
      <c r="F12" s="62"/>
      <c r="G12" s="62">
        <f>DIV_A!Y12</f>
        <v>87</v>
      </c>
      <c r="H12" s="62"/>
      <c r="I12" s="62">
        <f>DIV_A!AG12</f>
        <v>52</v>
      </c>
      <c r="J12" s="62"/>
      <c r="K12" s="62">
        <f>DIV_A!AO12</f>
        <v>81</v>
      </c>
      <c r="L12" s="62"/>
      <c r="M12" s="62">
        <v>55</v>
      </c>
      <c r="N12" s="62"/>
      <c r="O12" s="62">
        <v>408</v>
      </c>
      <c r="P12" s="62"/>
      <c r="Q12" s="63">
        <v>68</v>
      </c>
      <c r="R12" s="74" t="s">
        <v>395</v>
      </c>
    </row>
    <row r="13" spans="1:18" ht="15.95" customHeight="1" x14ac:dyDescent="0.25">
      <c r="A13" s="61">
        <v>8</v>
      </c>
      <c r="B13" s="65" t="s">
        <v>135</v>
      </c>
      <c r="C13" s="62">
        <f>DIV_A!I13</f>
        <v>64</v>
      </c>
      <c r="D13" s="62"/>
      <c r="E13" s="62">
        <f>DIV_A!Q13</f>
        <v>91</v>
      </c>
      <c r="F13" s="62"/>
      <c r="G13" s="62">
        <f>DIV_A!Y13</f>
        <v>92</v>
      </c>
      <c r="H13" s="62"/>
      <c r="I13" s="62">
        <f>DIV_A!AG13</f>
        <v>93</v>
      </c>
      <c r="J13" s="62"/>
      <c r="K13" s="62">
        <f>DIV_A!AO13</f>
        <v>100</v>
      </c>
      <c r="L13" s="62"/>
      <c r="M13" s="62">
        <f>DIV_A!BE13</f>
        <v>89</v>
      </c>
      <c r="N13" s="62"/>
      <c r="O13" s="62">
        <f>DIV_A!BR13</f>
        <v>529</v>
      </c>
      <c r="P13" s="62"/>
      <c r="Q13" s="63">
        <f>DIV_A!BS13</f>
        <v>88.166666666666671</v>
      </c>
      <c r="R13" s="74" t="str">
        <f>DIV_A!BT13</f>
        <v>GRADE I with Distinction</v>
      </c>
    </row>
    <row r="14" spans="1:18" ht="15.95" customHeight="1" x14ac:dyDescent="0.25">
      <c r="A14" s="61">
        <v>9</v>
      </c>
      <c r="B14" s="65" t="s">
        <v>136</v>
      </c>
      <c r="C14" s="62">
        <f>DIV_A!I14</f>
        <v>59</v>
      </c>
      <c r="D14" s="62"/>
      <c r="E14" s="62">
        <f>DIV_A!Q14</f>
        <v>73</v>
      </c>
      <c r="F14" s="62"/>
      <c r="G14" s="62">
        <f>DIV_A!Y14</f>
        <v>89</v>
      </c>
      <c r="H14" s="62"/>
      <c r="I14" s="62">
        <f>DIV_A!AG14</f>
        <v>69</v>
      </c>
      <c r="J14" s="62"/>
      <c r="K14" s="62">
        <f>DIV_A!AO14</f>
        <v>86</v>
      </c>
      <c r="L14" s="62"/>
      <c r="M14" s="62">
        <f>DIV_A!BE14</f>
        <v>51</v>
      </c>
      <c r="N14" s="62"/>
      <c r="O14" s="62">
        <f>DIV_A!BR14</f>
        <v>427</v>
      </c>
      <c r="P14" s="62"/>
      <c r="Q14" s="63">
        <f>DIV_A!BS14</f>
        <v>71.166666666666671</v>
      </c>
      <c r="R14" s="74" t="str">
        <f>DIV_A!BT14</f>
        <v>GRADE I</v>
      </c>
    </row>
    <row r="15" spans="1:18" ht="15.95" customHeight="1" x14ac:dyDescent="0.25">
      <c r="A15" s="61">
        <v>10</v>
      </c>
      <c r="B15" s="65" t="s">
        <v>137</v>
      </c>
      <c r="C15" s="62">
        <f>DIV_A!I15</f>
        <v>60</v>
      </c>
      <c r="D15" s="62"/>
      <c r="E15" s="62">
        <f>DIV_A!Q15</f>
        <v>76</v>
      </c>
      <c r="F15" s="62"/>
      <c r="G15" s="62">
        <f>DIV_A!Y15</f>
        <v>83</v>
      </c>
      <c r="H15" s="62"/>
      <c r="I15" s="62">
        <f>DIV_A!AG15</f>
        <v>75</v>
      </c>
      <c r="J15" s="62"/>
      <c r="K15" s="62">
        <f>DIV_A!AO15</f>
        <v>83</v>
      </c>
      <c r="L15" s="62"/>
      <c r="M15" s="62">
        <f>DIV_A!BE15</f>
        <v>83</v>
      </c>
      <c r="N15" s="62"/>
      <c r="O15" s="62">
        <f>DIV_A!BR15</f>
        <v>460</v>
      </c>
      <c r="P15" s="62"/>
      <c r="Q15" s="63">
        <f>DIV_A!BS15</f>
        <v>76.666666666666671</v>
      </c>
      <c r="R15" s="74" t="str">
        <f>DIV_A!BT15</f>
        <v>GRADE I with Distinction</v>
      </c>
    </row>
    <row r="16" spans="1:18" ht="15.95" customHeight="1" x14ac:dyDescent="0.25">
      <c r="A16" s="61">
        <v>11</v>
      </c>
      <c r="B16" s="65" t="s">
        <v>138</v>
      </c>
      <c r="C16" s="62">
        <f>DIV_A!I16</f>
        <v>65</v>
      </c>
      <c r="D16" s="62"/>
      <c r="E16" s="62">
        <f>DIV_A!Q16</f>
        <v>62</v>
      </c>
      <c r="F16" s="62"/>
      <c r="G16" s="62">
        <f>DIV_A!Y16</f>
        <v>78</v>
      </c>
      <c r="H16" s="62"/>
      <c r="I16" s="62">
        <f>DIV_A!AG16</f>
        <v>65</v>
      </c>
      <c r="J16" s="62"/>
      <c r="K16" s="62">
        <f>DIV_A!AO16</f>
        <v>66</v>
      </c>
      <c r="L16" s="62"/>
      <c r="M16" s="62">
        <f>DIV_A!BE16</f>
        <v>63</v>
      </c>
      <c r="N16" s="62"/>
      <c r="O16" s="62">
        <f>DIV_A!BR16</f>
        <v>399</v>
      </c>
      <c r="P16" s="62"/>
      <c r="Q16" s="63">
        <f>DIV_A!BS16</f>
        <v>66.5</v>
      </c>
      <c r="R16" s="74" t="str">
        <f>DIV_A!BT16</f>
        <v>GRADE I</v>
      </c>
    </row>
    <row r="17" spans="1:18" ht="15.95" customHeight="1" x14ac:dyDescent="0.25">
      <c r="A17" s="61">
        <v>12</v>
      </c>
      <c r="B17" s="65" t="s">
        <v>139</v>
      </c>
      <c r="C17" s="62">
        <f>DIV_A!I17</f>
        <v>58</v>
      </c>
      <c r="D17" s="62"/>
      <c r="E17" s="62">
        <f>DIV_A!Q17</f>
        <v>68</v>
      </c>
      <c r="F17" s="62"/>
      <c r="G17" s="62">
        <f>DIV_A!Y17</f>
        <v>92</v>
      </c>
      <c r="H17" s="62"/>
      <c r="I17" s="62">
        <f>DIV_A!AG17</f>
        <v>74</v>
      </c>
      <c r="J17" s="62"/>
      <c r="K17" s="62">
        <f>DIV_A!AO17</f>
        <v>91</v>
      </c>
      <c r="L17" s="62"/>
      <c r="M17" s="62">
        <f>DIV_A!BE17</f>
        <v>79</v>
      </c>
      <c r="N17" s="62"/>
      <c r="O17" s="62">
        <f>DIV_A!BR17</f>
        <v>462</v>
      </c>
      <c r="P17" s="62"/>
      <c r="Q17" s="63">
        <f>DIV_A!BS17</f>
        <v>77</v>
      </c>
      <c r="R17" s="74" t="str">
        <f>DIV_A!BT17</f>
        <v>GRADE I with Distinction</v>
      </c>
    </row>
    <row r="18" spans="1:18" ht="15.95" customHeight="1" x14ac:dyDescent="0.25">
      <c r="A18" s="61">
        <v>13</v>
      </c>
      <c r="B18" s="65" t="s">
        <v>140</v>
      </c>
      <c r="C18" s="62">
        <f>DIV_A!I18</f>
        <v>62</v>
      </c>
      <c r="D18" s="62"/>
      <c r="E18" s="62">
        <f>DIV_A!Q18</f>
        <v>79</v>
      </c>
      <c r="F18" s="62"/>
      <c r="G18" s="62">
        <f>DIV_A!Y18</f>
        <v>89</v>
      </c>
      <c r="H18" s="62"/>
      <c r="I18" s="62">
        <f>DIV_A!AG18</f>
        <v>80</v>
      </c>
      <c r="J18" s="62"/>
      <c r="K18" s="62">
        <f>DIV_A!AO18</f>
        <v>91</v>
      </c>
      <c r="L18" s="62"/>
      <c r="M18" s="62">
        <f>DIV_A!BE18</f>
        <v>80</v>
      </c>
      <c r="N18" s="62"/>
      <c r="O18" s="62">
        <f>DIV_A!BR18</f>
        <v>481</v>
      </c>
      <c r="P18" s="62"/>
      <c r="Q18" s="63">
        <f>DIV_A!BS18</f>
        <v>80.166666666666671</v>
      </c>
      <c r="R18" s="74" t="str">
        <f>DIV_A!BT18</f>
        <v>GRADE I with Distinction</v>
      </c>
    </row>
    <row r="19" spans="1:18" ht="15.95" customHeight="1" x14ac:dyDescent="0.25">
      <c r="A19" s="61">
        <v>14</v>
      </c>
      <c r="B19" s="65" t="s">
        <v>141</v>
      </c>
      <c r="C19" s="62">
        <f>DIV_A!I19</f>
        <v>60</v>
      </c>
      <c r="D19" s="62"/>
      <c r="E19" s="62">
        <f>DIV_A!Q19</f>
        <v>73</v>
      </c>
      <c r="F19" s="62"/>
      <c r="G19" s="62">
        <f>DIV_A!Y19</f>
        <v>83</v>
      </c>
      <c r="H19" s="62"/>
      <c r="I19" s="62">
        <f>DIV_A!AG19</f>
        <v>56</v>
      </c>
      <c r="J19" s="62"/>
      <c r="K19" s="62">
        <f>DIV_A!AO19</f>
        <v>83</v>
      </c>
      <c r="L19" s="62"/>
      <c r="M19" s="62">
        <f>DIV_A!BE19</f>
        <v>67</v>
      </c>
      <c r="N19" s="62"/>
      <c r="O19" s="62">
        <f>DIV_A!BR19</f>
        <v>422</v>
      </c>
      <c r="P19" s="62"/>
      <c r="Q19" s="63">
        <f>DIV_A!BS19</f>
        <v>70.333333333333329</v>
      </c>
      <c r="R19" s="74" t="str">
        <f>DIV_A!BT19</f>
        <v>GRADE I</v>
      </c>
    </row>
    <row r="20" spans="1:18" ht="15.95" customHeight="1" x14ac:dyDescent="0.25">
      <c r="A20" s="61">
        <v>15</v>
      </c>
      <c r="B20" s="65" t="s">
        <v>142</v>
      </c>
      <c r="C20" s="62">
        <f>DIV_A!I20</f>
        <v>70</v>
      </c>
      <c r="D20" s="62"/>
      <c r="E20" s="62">
        <f>DIV_A!Q20</f>
        <v>76</v>
      </c>
      <c r="F20" s="62"/>
      <c r="G20" s="62">
        <f>DIV_A!Y20</f>
        <v>89</v>
      </c>
      <c r="H20" s="62"/>
      <c r="I20" s="62">
        <f>DIV_A!AG20</f>
        <v>79</v>
      </c>
      <c r="J20" s="62"/>
      <c r="K20" s="62">
        <f>DIV_A!AO20</f>
        <v>94</v>
      </c>
      <c r="L20" s="62"/>
      <c r="M20" s="62">
        <f>DIV_A!BE20</f>
        <v>84</v>
      </c>
      <c r="N20" s="62"/>
      <c r="O20" s="62">
        <f>DIV_A!BR20</f>
        <v>492</v>
      </c>
      <c r="P20" s="62"/>
      <c r="Q20" s="63">
        <f>DIV_A!BS20</f>
        <v>82</v>
      </c>
      <c r="R20" s="74" t="str">
        <f>DIV_A!BT20</f>
        <v>GRADE I with Distinction</v>
      </c>
    </row>
    <row r="21" spans="1:18" ht="15.95" customHeight="1" x14ac:dyDescent="0.25">
      <c r="A21" s="61">
        <v>16</v>
      </c>
      <c r="B21" s="65" t="s">
        <v>143</v>
      </c>
      <c r="C21" s="62">
        <f>DIV_A!I21</f>
        <v>62</v>
      </c>
      <c r="D21" s="62"/>
      <c r="E21" s="62">
        <f>DIV_A!Q21</f>
        <v>71</v>
      </c>
      <c r="F21" s="62"/>
      <c r="G21" s="62">
        <f>DIV_A!Y21</f>
        <v>85</v>
      </c>
      <c r="H21" s="62"/>
      <c r="I21" s="62">
        <f>DIV_A!AG21</f>
        <v>79</v>
      </c>
      <c r="J21" s="62"/>
      <c r="K21" s="62">
        <f>DIV_A!AO21</f>
        <v>83</v>
      </c>
      <c r="L21" s="62"/>
      <c r="M21" s="62">
        <f>DIV_A!BE21</f>
        <v>73</v>
      </c>
      <c r="N21" s="62"/>
      <c r="O21" s="62">
        <f>DIV_A!BR21</f>
        <v>453</v>
      </c>
      <c r="P21" s="62"/>
      <c r="Q21" s="63">
        <f>DIV_A!BS21</f>
        <v>75.5</v>
      </c>
      <c r="R21" s="74" t="str">
        <f>DIV_A!BT21</f>
        <v>GRADE I with Distinction</v>
      </c>
    </row>
    <row r="22" spans="1:18" ht="15.95" customHeight="1" x14ac:dyDescent="0.25">
      <c r="A22" s="61">
        <v>17</v>
      </c>
      <c r="B22" s="65" t="s">
        <v>144</v>
      </c>
      <c r="C22" s="62">
        <f>DIV_A!I22</f>
        <v>71</v>
      </c>
      <c r="D22" s="62"/>
      <c r="E22" s="62">
        <f>DIV_A!Q22</f>
        <v>74</v>
      </c>
      <c r="F22" s="62"/>
      <c r="G22" s="62">
        <f>DIV_A!Y22</f>
        <v>90</v>
      </c>
      <c r="H22" s="62"/>
      <c r="I22" s="62">
        <f>DIV_A!AG22</f>
        <v>72</v>
      </c>
      <c r="J22" s="62"/>
      <c r="K22" s="62">
        <f>DIV_A!AO22</f>
        <v>93</v>
      </c>
      <c r="L22" s="62"/>
      <c r="M22" s="62">
        <f>DIV_A!BE22</f>
        <v>76</v>
      </c>
      <c r="N22" s="62"/>
      <c r="O22" s="62">
        <f>DIV_A!BR22</f>
        <v>476</v>
      </c>
      <c r="P22" s="62"/>
      <c r="Q22" s="63">
        <f>DIV_A!BS22</f>
        <v>79.333333333333329</v>
      </c>
      <c r="R22" s="74" t="str">
        <f>DIV_A!BT22</f>
        <v>GRADE I with Distinction</v>
      </c>
    </row>
    <row r="23" spans="1:18" ht="15.95" customHeight="1" x14ac:dyDescent="0.25">
      <c r="A23" s="61">
        <v>18</v>
      </c>
      <c r="B23" s="65" t="s">
        <v>145</v>
      </c>
      <c r="C23" s="62">
        <f>DIV_A!I23</f>
        <v>73</v>
      </c>
      <c r="D23" s="62"/>
      <c r="E23" s="62">
        <f>DIV_A!Q23</f>
        <v>91</v>
      </c>
      <c r="F23" s="62"/>
      <c r="G23" s="62">
        <f>DIV_A!Y23</f>
        <v>94</v>
      </c>
      <c r="H23" s="62"/>
      <c r="I23" s="62">
        <f>DIV_A!AG23</f>
        <v>90</v>
      </c>
      <c r="J23" s="62"/>
      <c r="K23" s="62">
        <f>DIV_A!AO23</f>
        <v>96</v>
      </c>
      <c r="L23" s="62"/>
      <c r="M23" s="62">
        <f>DIV_A!BE23</f>
        <v>92</v>
      </c>
      <c r="N23" s="62"/>
      <c r="O23" s="62">
        <f>DIV_A!BR23</f>
        <v>536</v>
      </c>
      <c r="P23" s="62"/>
      <c r="Q23" s="63">
        <f>DIV_A!BS23</f>
        <v>89.333333333333329</v>
      </c>
      <c r="R23" s="74" t="str">
        <f>DIV_A!BT23</f>
        <v>GRADE I with Distinction</v>
      </c>
    </row>
    <row r="24" spans="1:18" ht="15.95" customHeight="1" x14ac:dyDescent="0.25">
      <c r="A24" s="61">
        <v>19</v>
      </c>
      <c r="B24" s="65" t="s">
        <v>146</v>
      </c>
      <c r="C24" s="62">
        <f>DIV_A!I24</f>
        <v>69</v>
      </c>
      <c r="D24" s="62"/>
      <c r="E24" s="62">
        <f>DIV_A!Q24</f>
        <v>84</v>
      </c>
      <c r="F24" s="62"/>
      <c r="G24" s="62">
        <f>DIV_A!Y24</f>
        <v>86</v>
      </c>
      <c r="H24" s="62"/>
      <c r="I24" s="62">
        <f>DIV_A!AG24</f>
        <v>46</v>
      </c>
      <c r="J24" s="62"/>
      <c r="K24" s="62">
        <f>DIV_A!AO24</f>
        <v>84</v>
      </c>
      <c r="L24" s="62"/>
      <c r="M24" s="62">
        <f>DIV_A!BE24</f>
        <v>72</v>
      </c>
      <c r="N24" s="62"/>
      <c r="O24" s="62">
        <f>DIV_A!BR24</f>
        <v>441</v>
      </c>
      <c r="P24" s="62"/>
      <c r="Q24" s="63">
        <f>DIV_A!BS24</f>
        <v>73.5</v>
      </c>
      <c r="R24" s="74" t="str">
        <f>DIV_A!BT24</f>
        <v>GRADE I</v>
      </c>
    </row>
    <row r="25" spans="1:18" ht="15.95" customHeight="1" x14ac:dyDescent="0.25">
      <c r="A25" s="61">
        <v>20</v>
      </c>
      <c r="B25" s="65" t="s">
        <v>147</v>
      </c>
      <c r="C25" s="62">
        <f>DIV_A!I25</f>
        <v>71</v>
      </c>
      <c r="D25" s="62"/>
      <c r="E25" s="62">
        <f>DIV_A!Q25</f>
        <v>81</v>
      </c>
      <c r="F25" s="62"/>
      <c r="G25" s="62">
        <f>DIV_A!Y25</f>
        <v>89</v>
      </c>
      <c r="H25" s="62"/>
      <c r="I25" s="62">
        <f>DIV_A!AG25</f>
        <v>84</v>
      </c>
      <c r="J25" s="62"/>
      <c r="K25" s="62">
        <f>DIV_A!AO25</f>
        <v>95</v>
      </c>
      <c r="L25" s="62"/>
      <c r="M25" s="62">
        <f>DIV_A!BE25</f>
        <v>81</v>
      </c>
      <c r="N25" s="62"/>
      <c r="O25" s="62">
        <f>DIV_A!BR25</f>
        <v>501</v>
      </c>
      <c r="P25" s="62"/>
      <c r="Q25" s="63">
        <f>DIV_A!BS25</f>
        <v>83.5</v>
      </c>
      <c r="R25" s="74" t="str">
        <f>DIV_A!BT25</f>
        <v>GRADE I with Distinction</v>
      </c>
    </row>
    <row r="26" spans="1:18" ht="15.95" customHeight="1" x14ac:dyDescent="0.25">
      <c r="A26" s="61">
        <v>21</v>
      </c>
      <c r="B26" s="65" t="s">
        <v>148</v>
      </c>
      <c r="C26" s="62">
        <f>DIV_A!I26</f>
        <v>74</v>
      </c>
      <c r="D26" s="62"/>
      <c r="E26" s="62">
        <f>DIV_A!Q26</f>
        <v>77</v>
      </c>
      <c r="F26" s="62"/>
      <c r="G26" s="62">
        <f>DIV_A!Y26</f>
        <v>88</v>
      </c>
      <c r="H26" s="62"/>
      <c r="I26" s="62">
        <f>DIV_A!AG26</f>
        <v>76</v>
      </c>
      <c r="J26" s="62"/>
      <c r="K26" s="62">
        <f>DIV_A!AO26</f>
        <v>86</v>
      </c>
      <c r="L26" s="62"/>
      <c r="M26" s="62">
        <f>DIV_A!BE26</f>
        <v>66</v>
      </c>
      <c r="N26" s="62"/>
      <c r="O26" s="62">
        <f>DIV_A!BR26</f>
        <v>467</v>
      </c>
      <c r="P26" s="62"/>
      <c r="Q26" s="63">
        <f>DIV_A!BS26</f>
        <v>77.833333333333329</v>
      </c>
      <c r="R26" s="74" t="str">
        <f>DIV_A!BT26</f>
        <v>GRADE I with Distinction</v>
      </c>
    </row>
    <row r="27" spans="1:18" ht="15.95" customHeight="1" x14ac:dyDescent="0.25">
      <c r="A27" s="61">
        <v>22</v>
      </c>
      <c r="B27" s="65" t="s">
        <v>149</v>
      </c>
      <c r="C27" s="62">
        <f>DIV_A!I27</f>
        <v>69</v>
      </c>
      <c r="D27" s="62"/>
      <c r="E27" s="62">
        <f>DIV_A!Q27</f>
        <v>55</v>
      </c>
      <c r="F27" s="62"/>
      <c r="G27" s="62">
        <f>DIV_A!Y27</f>
        <v>79</v>
      </c>
      <c r="H27" s="62"/>
      <c r="I27" s="62">
        <f>DIV_A!AG27</f>
        <v>64</v>
      </c>
      <c r="J27" s="62"/>
      <c r="K27" s="62">
        <f>DIV_A!AO27</f>
        <v>74</v>
      </c>
      <c r="L27" s="62"/>
      <c r="M27" s="62">
        <f>DIV_A!BE27</f>
        <v>46</v>
      </c>
      <c r="N27" s="62"/>
      <c r="O27" s="62">
        <f>DIV_A!BR27</f>
        <v>387</v>
      </c>
      <c r="P27" s="62"/>
      <c r="Q27" s="63">
        <f>DIV_A!BS27</f>
        <v>64.5</v>
      </c>
      <c r="R27" s="74" t="str">
        <f>DIV_A!BT27</f>
        <v>GRADE I</v>
      </c>
    </row>
    <row r="28" spans="1:18" ht="15.95" customHeight="1" x14ac:dyDescent="0.25">
      <c r="A28" s="61">
        <v>23</v>
      </c>
      <c r="B28" s="65" t="s">
        <v>150</v>
      </c>
      <c r="C28" s="62">
        <f>DIV_A!I28</f>
        <v>76</v>
      </c>
      <c r="D28" s="62"/>
      <c r="E28" s="62">
        <f>DIV_A!Q28</f>
        <v>90</v>
      </c>
      <c r="F28" s="62"/>
      <c r="G28" s="62">
        <f>DIV_A!Y28</f>
        <v>95</v>
      </c>
      <c r="H28" s="62"/>
      <c r="I28" s="62">
        <f>DIV_A!AG28</f>
        <v>78</v>
      </c>
      <c r="J28" s="62"/>
      <c r="K28" s="62">
        <f>DIV_A!AO28</f>
        <v>95</v>
      </c>
      <c r="L28" s="62"/>
      <c r="M28" s="62">
        <f>DIV_A!BE28</f>
        <v>88</v>
      </c>
      <c r="N28" s="62"/>
      <c r="O28" s="62">
        <f>DIV_A!BR28</f>
        <v>522</v>
      </c>
      <c r="P28" s="62"/>
      <c r="Q28" s="63">
        <f>DIV_A!BS28</f>
        <v>87</v>
      </c>
      <c r="R28" s="74" t="str">
        <f>DIV_A!BT28</f>
        <v>GRADE I with Distinction</v>
      </c>
    </row>
    <row r="29" spans="1:18" ht="15.95" customHeight="1" x14ac:dyDescent="0.25">
      <c r="A29" s="61">
        <v>24</v>
      </c>
      <c r="B29" s="65" t="s">
        <v>151</v>
      </c>
      <c r="C29" s="62">
        <f>DIV_A!I29</f>
        <v>70</v>
      </c>
      <c r="D29" s="62"/>
      <c r="E29" s="62">
        <f>DIV_A!Q29</f>
        <v>78</v>
      </c>
      <c r="F29" s="62"/>
      <c r="G29" s="62">
        <f>DIV_A!Y29</f>
        <v>90</v>
      </c>
      <c r="H29" s="62"/>
      <c r="I29" s="62">
        <f>DIV_A!AG29</f>
        <v>69</v>
      </c>
      <c r="J29" s="62"/>
      <c r="K29" s="62">
        <f>DIV_A!AO29</f>
        <v>86</v>
      </c>
      <c r="L29" s="62"/>
      <c r="M29" s="62">
        <f>DIV_A!BE29</f>
        <v>69</v>
      </c>
      <c r="N29" s="62"/>
      <c r="O29" s="62">
        <f>DIV_A!BR29</f>
        <v>462</v>
      </c>
      <c r="P29" s="62"/>
      <c r="Q29" s="63">
        <f>DIV_A!BS29</f>
        <v>77</v>
      </c>
      <c r="R29" s="74" t="str">
        <f>DIV_A!BT29</f>
        <v>GRADE I with Distinction</v>
      </c>
    </row>
    <row r="30" spans="1:18" ht="15.95" customHeight="1" x14ac:dyDescent="0.25">
      <c r="A30" s="61">
        <v>25</v>
      </c>
      <c r="B30" s="65" t="s">
        <v>152</v>
      </c>
      <c r="C30" s="62">
        <f>DIV_A!I30</f>
        <v>70</v>
      </c>
      <c r="D30" s="62"/>
      <c r="E30" s="62">
        <f>DIV_A!Q30</f>
        <v>73</v>
      </c>
      <c r="F30" s="62"/>
      <c r="G30" s="62">
        <f>DIV_A!Y30</f>
        <v>77</v>
      </c>
      <c r="H30" s="62"/>
      <c r="I30" s="62">
        <f>DIV_A!AG30</f>
        <v>71</v>
      </c>
      <c r="J30" s="62"/>
      <c r="K30" s="62">
        <f>DIV_A!AO30</f>
        <v>80</v>
      </c>
      <c r="L30" s="62"/>
      <c r="M30" s="62">
        <f>DIV_A!BE30</f>
        <v>81</v>
      </c>
      <c r="N30" s="62"/>
      <c r="O30" s="62">
        <f>DIV_A!BR30</f>
        <v>452</v>
      </c>
      <c r="P30" s="62"/>
      <c r="Q30" s="63">
        <f>DIV_A!BS30</f>
        <v>75.333333333333329</v>
      </c>
      <c r="R30" s="74" t="str">
        <f>DIV_A!BT30</f>
        <v>GRADE I with Distinction</v>
      </c>
    </row>
    <row r="31" spans="1:18" ht="15.95" customHeight="1" x14ac:dyDescent="0.25">
      <c r="A31" s="61">
        <v>26</v>
      </c>
      <c r="B31" s="65" t="s">
        <v>153</v>
      </c>
      <c r="C31" s="62">
        <f>DIV_A!I31</f>
        <v>74</v>
      </c>
      <c r="D31" s="62"/>
      <c r="E31" s="62">
        <f>DIV_A!Q31</f>
        <v>82</v>
      </c>
      <c r="F31" s="62"/>
      <c r="G31" s="62">
        <f>DIV_A!Y31</f>
        <v>93</v>
      </c>
      <c r="H31" s="62"/>
      <c r="I31" s="62">
        <f>DIV_A!AG31</f>
        <v>82</v>
      </c>
      <c r="J31" s="62"/>
      <c r="K31" s="62">
        <f>DIV_A!AO31</f>
        <v>93</v>
      </c>
      <c r="L31" s="62"/>
      <c r="M31" s="62">
        <f>DIV_A!BE31</f>
        <v>81</v>
      </c>
      <c r="N31" s="62"/>
      <c r="O31" s="62">
        <f>DIV_A!BR31</f>
        <v>505</v>
      </c>
      <c r="P31" s="62"/>
      <c r="Q31" s="63">
        <f>DIV_A!BS31</f>
        <v>84.166666666666671</v>
      </c>
      <c r="R31" s="74" t="str">
        <f>DIV_A!BT31</f>
        <v>GRADE I with Distinction</v>
      </c>
    </row>
    <row r="32" spans="1:18" ht="15.95" customHeight="1" x14ac:dyDescent="0.25">
      <c r="A32" s="61">
        <v>27</v>
      </c>
      <c r="B32" s="65" t="s">
        <v>154</v>
      </c>
      <c r="C32" s="62">
        <f>DIV_A!I32</f>
        <v>72</v>
      </c>
      <c r="D32" s="62"/>
      <c r="E32" s="62">
        <f>DIV_A!Q32</f>
        <v>78</v>
      </c>
      <c r="F32" s="62"/>
      <c r="G32" s="62">
        <f>DIV_A!Y32</f>
        <v>93</v>
      </c>
      <c r="H32" s="62"/>
      <c r="I32" s="62">
        <f>DIV_A!AG32</f>
        <v>60</v>
      </c>
      <c r="J32" s="62"/>
      <c r="K32" s="62">
        <f>DIV_A!AO32</f>
        <v>82</v>
      </c>
      <c r="L32" s="62"/>
      <c r="M32" s="62">
        <f>DIV_A!BE32</f>
        <v>78</v>
      </c>
      <c r="N32" s="62"/>
      <c r="O32" s="62">
        <f>DIV_A!BR32</f>
        <v>463</v>
      </c>
      <c r="P32" s="62"/>
      <c r="Q32" s="63">
        <f>DIV_A!BS32</f>
        <v>77.166666666666671</v>
      </c>
      <c r="R32" s="74" t="str">
        <f>DIV_A!BT32</f>
        <v>GRADE I with Distinction</v>
      </c>
    </row>
    <row r="33" spans="1:18" ht="15.95" customHeight="1" x14ac:dyDescent="0.25">
      <c r="A33" s="61">
        <v>28</v>
      </c>
      <c r="B33" s="65" t="s">
        <v>155</v>
      </c>
      <c r="C33" s="62">
        <f>DIV_A!I33</f>
        <v>69</v>
      </c>
      <c r="D33" s="62"/>
      <c r="E33" s="62">
        <f>DIV_A!Q33</f>
        <v>68</v>
      </c>
      <c r="F33" s="62"/>
      <c r="G33" s="62">
        <f>DIV_A!Y33</f>
        <v>86</v>
      </c>
      <c r="H33" s="62"/>
      <c r="I33" s="62">
        <f>DIV_A!AG33</f>
        <v>75</v>
      </c>
      <c r="J33" s="62"/>
      <c r="K33" s="62">
        <f>DIV_A!AO33</f>
        <v>80</v>
      </c>
      <c r="L33" s="62"/>
      <c r="M33" s="62">
        <f>DIV_A!BE33</f>
        <v>64</v>
      </c>
      <c r="N33" s="62"/>
      <c r="O33" s="62">
        <f>DIV_A!BR33</f>
        <v>442</v>
      </c>
      <c r="P33" s="62"/>
      <c r="Q33" s="63">
        <f>DIV_A!BS33</f>
        <v>73.666666666666671</v>
      </c>
      <c r="R33" s="74" t="str">
        <f>DIV_A!BT33</f>
        <v>GRADE I</v>
      </c>
    </row>
    <row r="34" spans="1:18" ht="15.95" customHeight="1" x14ac:dyDescent="0.25">
      <c r="A34" s="61">
        <v>29</v>
      </c>
      <c r="B34" s="65" t="s">
        <v>156</v>
      </c>
      <c r="C34" s="62">
        <f>DIV_A!I34</f>
        <v>69</v>
      </c>
      <c r="D34" s="62"/>
      <c r="E34" s="62">
        <f>DIV_A!Q34</f>
        <v>77</v>
      </c>
      <c r="F34" s="62"/>
      <c r="G34" s="62">
        <f>DIV_A!Y34</f>
        <v>84</v>
      </c>
      <c r="H34" s="62"/>
      <c r="I34" s="62">
        <f>DIV_A!AG34</f>
        <v>62</v>
      </c>
      <c r="J34" s="62"/>
      <c r="K34" s="62">
        <f>DIV_A!AO34</f>
        <v>85</v>
      </c>
      <c r="L34" s="62"/>
      <c r="M34" s="62">
        <f>DIV_A!BE34</f>
        <v>78</v>
      </c>
      <c r="N34" s="62"/>
      <c r="O34" s="62">
        <f>DIV_A!BR34</f>
        <v>455</v>
      </c>
      <c r="P34" s="62"/>
      <c r="Q34" s="63">
        <f>DIV_A!BS34</f>
        <v>75.833333333333329</v>
      </c>
      <c r="R34" s="74" t="str">
        <f>DIV_A!BT34</f>
        <v>GRADE I with Distinction</v>
      </c>
    </row>
    <row r="35" spans="1:18" ht="15.95" customHeight="1" x14ac:dyDescent="0.25">
      <c r="A35" s="61">
        <v>30</v>
      </c>
      <c r="B35" s="65" t="s">
        <v>157</v>
      </c>
      <c r="C35" s="62">
        <f>DIV_A!I35</f>
        <v>50</v>
      </c>
      <c r="D35" s="62"/>
      <c r="E35" s="62">
        <f>DIV_A!Q35</f>
        <v>58</v>
      </c>
      <c r="F35" s="62"/>
      <c r="G35" s="62">
        <f>DIV_A!Y35</f>
        <v>70</v>
      </c>
      <c r="H35" s="62"/>
      <c r="I35" s="62">
        <f>DIV_A!AG35</f>
        <v>64</v>
      </c>
      <c r="J35" s="62"/>
      <c r="K35" s="62">
        <f>DIV_A!AO35</f>
        <v>69</v>
      </c>
      <c r="L35" s="62"/>
      <c r="M35" s="62">
        <f>DIV_A!BE35</f>
        <v>59</v>
      </c>
      <c r="N35" s="62"/>
      <c r="O35" s="62">
        <f>DIV_A!BR35</f>
        <v>370</v>
      </c>
      <c r="P35" s="62"/>
      <c r="Q35" s="63">
        <f>DIV_A!BS35</f>
        <v>61.666666666666664</v>
      </c>
      <c r="R35" s="74" t="str">
        <f>DIV_A!BT35</f>
        <v>GRADE I</v>
      </c>
    </row>
    <row r="36" spans="1:18" ht="15.95" customHeight="1" x14ac:dyDescent="0.25">
      <c r="A36" s="61">
        <v>31</v>
      </c>
      <c r="B36" s="65" t="s">
        <v>158</v>
      </c>
      <c r="C36" s="62">
        <f>DIV_A!I36</f>
        <v>73</v>
      </c>
      <c r="D36" s="62"/>
      <c r="E36" s="62">
        <f>DIV_A!Q36</f>
        <v>90</v>
      </c>
      <c r="F36" s="62"/>
      <c r="G36" s="62">
        <f>DIV_A!Y36</f>
        <v>95</v>
      </c>
      <c r="H36" s="62"/>
      <c r="I36" s="62">
        <f>DIV_A!AG36</f>
        <v>82</v>
      </c>
      <c r="J36" s="62"/>
      <c r="K36" s="62">
        <f>DIV_A!AO36</f>
        <v>96</v>
      </c>
      <c r="L36" s="62"/>
      <c r="M36" s="62">
        <f>DIV_A!BE36</f>
        <v>87</v>
      </c>
      <c r="N36" s="62"/>
      <c r="O36" s="62">
        <f>DIV_A!BR36</f>
        <v>523</v>
      </c>
      <c r="P36" s="62"/>
      <c r="Q36" s="63">
        <f>DIV_A!BS36</f>
        <v>87.166666666666671</v>
      </c>
      <c r="R36" s="74" t="str">
        <f>DIV_A!BT36</f>
        <v>GRADE I with Distinction</v>
      </c>
    </row>
    <row r="37" spans="1:18" ht="15.95" customHeight="1" x14ac:dyDescent="0.25">
      <c r="A37" s="61">
        <v>32</v>
      </c>
      <c r="B37" s="65" t="s">
        <v>159</v>
      </c>
      <c r="C37" s="62">
        <f>DIV_A!I37</f>
        <v>66</v>
      </c>
      <c r="D37" s="62"/>
      <c r="E37" s="62">
        <f>DIV_A!Q37</f>
        <v>71</v>
      </c>
      <c r="F37" s="62"/>
      <c r="G37" s="62">
        <f>DIV_A!Y37</f>
        <v>92</v>
      </c>
      <c r="H37" s="62"/>
      <c r="I37" s="62">
        <f>DIV_A!AG37</f>
        <v>66</v>
      </c>
      <c r="J37" s="62"/>
      <c r="K37" s="62">
        <f>DIV_A!AO37</f>
        <v>94</v>
      </c>
      <c r="L37" s="62"/>
      <c r="M37" s="62">
        <f>DIV_A!BE37</f>
        <v>58</v>
      </c>
      <c r="N37" s="62"/>
      <c r="O37" s="62">
        <f>DIV_A!BR37</f>
        <v>447</v>
      </c>
      <c r="P37" s="62"/>
      <c r="Q37" s="63">
        <f>DIV_A!BS37</f>
        <v>74.5</v>
      </c>
      <c r="R37" s="74" t="str">
        <f>DIV_A!BT37</f>
        <v>GRADE I</v>
      </c>
    </row>
    <row r="38" spans="1:18" ht="15.95" customHeight="1" x14ac:dyDescent="0.25">
      <c r="A38" s="61">
        <v>33</v>
      </c>
      <c r="B38" s="65" t="s">
        <v>160</v>
      </c>
      <c r="C38" s="62">
        <f>DIV_A!I38</f>
        <v>64</v>
      </c>
      <c r="D38" s="62"/>
      <c r="E38" s="62">
        <f>DIV_A!Q38</f>
        <v>70</v>
      </c>
      <c r="F38" s="62"/>
      <c r="G38" s="62">
        <f>DIV_A!Y38</f>
        <v>89</v>
      </c>
      <c r="H38" s="62"/>
      <c r="I38" s="62">
        <f>DIV_A!AG38</f>
        <v>82</v>
      </c>
      <c r="J38" s="62"/>
      <c r="K38" s="62">
        <f>DIV_A!AO38</f>
        <v>84</v>
      </c>
      <c r="L38" s="62"/>
      <c r="M38" s="62">
        <f>DIV_A!BE38</f>
        <v>81</v>
      </c>
      <c r="N38" s="62"/>
      <c r="O38" s="62">
        <f>DIV_A!BR38</f>
        <v>470</v>
      </c>
      <c r="P38" s="62"/>
      <c r="Q38" s="63">
        <f>DIV_A!BS38</f>
        <v>78.333333333333329</v>
      </c>
      <c r="R38" s="74" t="str">
        <f>DIV_A!BT38</f>
        <v>GRADE I with Distinction</v>
      </c>
    </row>
    <row r="39" spans="1:18" ht="15.95" customHeight="1" x14ac:dyDescent="0.25">
      <c r="A39" s="61">
        <v>34</v>
      </c>
      <c r="B39" s="65" t="s">
        <v>161</v>
      </c>
      <c r="C39" s="62">
        <f>DIV_A!I39</f>
        <v>63</v>
      </c>
      <c r="D39" s="62"/>
      <c r="E39" s="62">
        <f>DIV_A!Q39</f>
        <v>74</v>
      </c>
      <c r="F39" s="62"/>
      <c r="G39" s="62">
        <f>DIV_A!Y39</f>
        <v>88</v>
      </c>
      <c r="H39" s="62"/>
      <c r="I39" s="62">
        <f>DIV_A!AG39</f>
        <v>80</v>
      </c>
      <c r="J39" s="62"/>
      <c r="K39" s="62">
        <f>DIV_A!AO39</f>
        <v>89</v>
      </c>
      <c r="L39" s="62"/>
      <c r="M39" s="62">
        <f>DIV_A!BE39</f>
        <v>81</v>
      </c>
      <c r="N39" s="62"/>
      <c r="O39" s="62">
        <f>DIV_A!BR39</f>
        <v>475</v>
      </c>
      <c r="P39" s="62"/>
      <c r="Q39" s="63">
        <f>DIV_A!BS39</f>
        <v>79.166666666666671</v>
      </c>
      <c r="R39" s="74" t="str">
        <f>DIV_A!BT39</f>
        <v>GRADE I with Distinction</v>
      </c>
    </row>
    <row r="40" spans="1:18" ht="15.95" customHeight="1" x14ac:dyDescent="0.25">
      <c r="A40" s="61">
        <v>35</v>
      </c>
      <c r="B40" s="65" t="s">
        <v>162</v>
      </c>
      <c r="C40" s="62">
        <f>DIV_A!I40</f>
        <v>69</v>
      </c>
      <c r="D40" s="62"/>
      <c r="E40" s="62">
        <f>DIV_A!Q40</f>
        <v>76</v>
      </c>
      <c r="F40" s="62"/>
      <c r="G40" s="62">
        <f>DIV_A!Y40</f>
        <v>93</v>
      </c>
      <c r="H40" s="62"/>
      <c r="I40" s="62">
        <f>DIV_A!AG40</f>
        <v>70</v>
      </c>
      <c r="J40" s="62"/>
      <c r="K40" s="62">
        <f>DIV_A!AO40</f>
        <v>88</v>
      </c>
      <c r="L40" s="62"/>
      <c r="M40" s="62">
        <f>DIV_A!BE40</f>
        <v>86</v>
      </c>
      <c r="N40" s="62"/>
      <c r="O40" s="62">
        <f>DIV_A!BR40</f>
        <v>482</v>
      </c>
      <c r="P40" s="62"/>
      <c r="Q40" s="63">
        <f>DIV_A!BS40</f>
        <v>80.333333333333329</v>
      </c>
      <c r="R40" s="74" t="str">
        <f>DIV_A!BT40</f>
        <v>GRADE I with Distinction</v>
      </c>
    </row>
    <row r="41" spans="1:18" ht="15.95" customHeight="1" x14ac:dyDescent="0.25">
      <c r="A41" s="61">
        <v>36</v>
      </c>
      <c r="B41" s="65" t="s">
        <v>163</v>
      </c>
      <c r="C41" s="62">
        <f>DIV_A!I41</f>
        <v>67</v>
      </c>
      <c r="D41" s="62"/>
      <c r="E41" s="62">
        <f>DIV_A!Q41</f>
        <v>88</v>
      </c>
      <c r="F41" s="62"/>
      <c r="G41" s="62">
        <f>DIV_A!Y41</f>
        <v>90</v>
      </c>
      <c r="H41" s="62"/>
      <c r="I41" s="62">
        <f>DIV_A!AG41</f>
        <v>77</v>
      </c>
      <c r="J41" s="62"/>
      <c r="K41" s="62">
        <f>DIV_A!AO41</f>
        <v>92</v>
      </c>
      <c r="L41" s="62"/>
      <c r="M41" s="62">
        <f>DIV_A!BE41</f>
        <v>87</v>
      </c>
      <c r="N41" s="62"/>
      <c r="O41" s="62">
        <f>DIV_A!BR41</f>
        <v>501</v>
      </c>
      <c r="P41" s="62"/>
      <c r="Q41" s="63">
        <f>DIV_A!BS41</f>
        <v>83.5</v>
      </c>
      <c r="R41" s="74" t="str">
        <f>DIV_A!BT41</f>
        <v>GRADE I with Distinction</v>
      </c>
    </row>
    <row r="42" spans="1:18" ht="15.95" customHeight="1" x14ac:dyDescent="0.25">
      <c r="A42" s="61">
        <v>37</v>
      </c>
      <c r="B42" s="65" t="s">
        <v>164</v>
      </c>
      <c r="C42" s="62">
        <f>DIV_A!I42</f>
        <v>53</v>
      </c>
      <c r="D42" s="62"/>
      <c r="E42" s="62">
        <f>DIV_A!Q42</f>
        <v>76</v>
      </c>
      <c r="F42" s="62"/>
      <c r="G42" s="62">
        <f>DIV_A!Y42</f>
        <v>80</v>
      </c>
      <c r="H42" s="62"/>
      <c r="I42" s="62">
        <f>DIV_A!AG42</f>
        <v>67</v>
      </c>
      <c r="J42" s="62"/>
      <c r="K42" s="62">
        <f>DIV_A!AO42</f>
        <v>79</v>
      </c>
      <c r="L42" s="62"/>
      <c r="M42" s="62">
        <f>DIV_A!BE42</f>
        <v>48</v>
      </c>
      <c r="N42" s="62"/>
      <c r="O42" s="62">
        <f>DIV_A!BR42</f>
        <v>403</v>
      </c>
      <c r="P42" s="62"/>
      <c r="Q42" s="63">
        <f>DIV_A!BS42</f>
        <v>67.166666666666671</v>
      </c>
      <c r="R42" s="74" t="str">
        <f>DIV_A!BT42</f>
        <v>GRADE I</v>
      </c>
    </row>
    <row r="43" spans="1:18" ht="15.95" customHeight="1" x14ac:dyDescent="0.25">
      <c r="A43" s="61">
        <v>38</v>
      </c>
      <c r="B43" s="65" t="s">
        <v>165</v>
      </c>
      <c r="C43" s="62">
        <f>DIV_A!I43</f>
        <v>68</v>
      </c>
      <c r="D43" s="62"/>
      <c r="E43" s="62">
        <f>DIV_A!Q43</f>
        <v>72</v>
      </c>
      <c r="F43" s="62"/>
      <c r="G43" s="62">
        <f>DIV_A!Y43</f>
        <v>87</v>
      </c>
      <c r="H43" s="62"/>
      <c r="I43" s="62">
        <f>DIV_A!AG43</f>
        <v>55</v>
      </c>
      <c r="J43" s="62"/>
      <c r="K43" s="62">
        <f>DIV_A!AO43</f>
        <v>75</v>
      </c>
      <c r="L43" s="62"/>
      <c r="M43" s="62">
        <f>DIV_A!BE43</f>
        <v>55</v>
      </c>
      <c r="N43" s="62"/>
      <c r="O43" s="62">
        <f>DIV_A!BR43</f>
        <v>412</v>
      </c>
      <c r="P43" s="62"/>
      <c r="Q43" s="63">
        <f>DIV_A!BS43</f>
        <v>68.666666666666671</v>
      </c>
      <c r="R43" s="74" t="str">
        <f>DIV_A!BT43</f>
        <v>GRADE I</v>
      </c>
    </row>
    <row r="44" spans="1:18" ht="15.95" customHeight="1" x14ac:dyDescent="0.25">
      <c r="A44" s="61">
        <v>39</v>
      </c>
      <c r="B44" s="65" t="s">
        <v>166</v>
      </c>
      <c r="C44" s="62">
        <f>DIV_A!I44</f>
        <v>62</v>
      </c>
      <c r="D44" s="62"/>
      <c r="E44" s="62">
        <f>DIV_A!Q44</f>
        <v>71</v>
      </c>
      <c r="F44" s="62"/>
      <c r="G44" s="62">
        <f>DIV_A!Y44</f>
        <v>88</v>
      </c>
      <c r="H44" s="62"/>
      <c r="I44" s="62">
        <f>DIV_A!AG44</f>
        <v>63</v>
      </c>
      <c r="J44" s="62"/>
      <c r="K44" s="62">
        <f>DIV_A!AO44</f>
        <v>72</v>
      </c>
      <c r="L44" s="62"/>
      <c r="M44" s="62">
        <f>DIV_A!BE44</f>
        <v>41</v>
      </c>
      <c r="N44" s="62"/>
      <c r="O44" s="62">
        <f>DIV_A!BR44</f>
        <v>397</v>
      </c>
      <c r="P44" s="62"/>
      <c r="Q44" s="63">
        <f>DIV_A!BS44</f>
        <v>66.166666666666671</v>
      </c>
      <c r="R44" s="74" t="str">
        <f>DIV_A!BT44</f>
        <v>GRADE I</v>
      </c>
    </row>
    <row r="45" spans="1:18" ht="15.95" customHeight="1" x14ac:dyDescent="0.25">
      <c r="A45" s="61">
        <v>40</v>
      </c>
      <c r="B45" s="65" t="s">
        <v>167</v>
      </c>
      <c r="C45" s="62">
        <f>DIV_A!I45</f>
        <v>64</v>
      </c>
      <c r="D45" s="62"/>
      <c r="E45" s="62">
        <f>DIV_A!Q45</f>
        <v>77</v>
      </c>
      <c r="F45" s="62"/>
      <c r="G45" s="62">
        <f>DIV_A!Y45</f>
        <v>89</v>
      </c>
      <c r="H45" s="62"/>
      <c r="I45" s="62">
        <f>DIV_A!AG45</f>
        <v>87</v>
      </c>
      <c r="J45" s="62"/>
      <c r="K45" s="62">
        <f>DIV_A!AO45</f>
        <v>93</v>
      </c>
      <c r="L45" s="62"/>
      <c r="M45" s="62">
        <f>DIV_A!BE45</f>
        <v>78</v>
      </c>
      <c r="N45" s="62"/>
      <c r="O45" s="62">
        <f>DIV_A!BR45</f>
        <v>488</v>
      </c>
      <c r="P45" s="62"/>
      <c r="Q45" s="63">
        <f>DIV_A!BS45</f>
        <v>81.333333333333329</v>
      </c>
      <c r="R45" s="74" t="str">
        <f>DIV_A!BT45</f>
        <v>GRADE I with Distinction</v>
      </c>
    </row>
    <row r="46" spans="1:18" ht="15.95" customHeight="1" x14ac:dyDescent="0.25">
      <c r="A46" s="61">
        <v>41</v>
      </c>
      <c r="B46" s="65" t="s">
        <v>168</v>
      </c>
      <c r="C46" s="62">
        <f>DIV_A!I46</f>
        <v>68</v>
      </c>
      <c r="D46" s="62"/>
      <c r="E46" s="62">
        <f>DIV_A!Q46</f>
        <v>63</v>
      </c>
      <c r="F46" s="62"/>
      <c r="G46" s="62">
        <f>DIV_A!Y46</f>
        <v>80</v>
      </c>
      <c r="H46" s="62"/>
      <c r="I46" s="62">
        <f>DIV_A!AG46</f>
        <v>59</v>
      </c>
      <c r="J46" s="62"/>
      <c r="K46" s="62">
        <f>DIV_A!AO46</f>
        <v>79</v>
      </c>
      <c r="L46" s="62"/>
      <c r="M46" s="62">
        <f>DIV_A!BE46</f>
        <v>63</v>
      </c>
      <c r="N46" s="62"/>
      <c r="O46" s="62">
        <f>DIV_A!BR46</f>
        <v>412</v>
      </c>
      <c r="P46" s="62"/>
      <c r="Q46" s="63">
        <f>DIV_A!BS46</f>
        <v>68.666666666666671</v>
      </c>
      <c r="R46" s="74" t="str">
        <f>DIV_A!BT46</f>
        <v>GRADE I</v>
      </c>
    </row>
    <row r="47" spans="1:18" ht="15.95" customHeight="1" x14ac:dyDescent="0.25">
      <c r="A47" s="61">
        <v>42</v>
      </c>
      <c r="B47" s="65" t="s">
        <v>169</v>
      </c>
      <c r="C47" s="62">
        <f>DIV_A!I47</f>
        <v>61</v>
      </c>
      <c r="D47" s="62"/>
      <c r="E47" s="62">
        <f>DIV_A!Q47</f>
        <v>61</v>
      </c>
      <c r="F47" s="62"/>
      <c r="G47" s="62">
        <f>DIV_A!Y47</f>
        <v>79</v>
      </c>
      <c r="H47" s="62"/>
      <c r="I47" s="62">
        <f>DIV_A!AG47</f>
        <v>56</v>
      </c>
      <c r="J47" s="62"/>
      <c r="K47" s="62">
        <f>DIV_A!AO47</f>
        <v>63</v>
      </c>
      <c r="L47" s="62"/>
      <c r="M47" s="62">
        <f>DIV_A!BE47</f>
        <v>51</v>
      </c>
      <c r="N47" s="62"/>
      <c r="O47" s="62">
        <f>DIV_A!BR47</f>
        <v>371</v>
      </c>
      <c r="P47" s="62"/>
      <c r="Q47" s="63">
        <f>DIV_A!BS47</f>
        <v>61.833333333333336</v>
      </c>
      <c r="R47" s="74" t="str">
        <f>DIV_A!BT47</f>
        <v>GRADE I</v>
      </c>
    </row>
    <row r="48" spans="1:18" ht="15.95" customHeight="1" x14ac:dyDescent="0.25">
      <c r="A48" s="61">
        <v>43</v>
      </c>
      <c r="B48" s="65" t="s">
        <v>170</v>
      </c>
      <c r="C48" s="62">
        <f>DIV_A!I48</f>
        <v>51</v>
      </c>
      <c r="D48" s="62"/>
      <c r="E48" s="62">
        <f>DIV_A!Q48</f>
        <v>62</v>
      </c>
      <c r="F48" s="62"/>
      <c r="G48" s="62">
        <f>DIV_A!Y48</f>
        <v>84</v>
      </c>
      <c r="H48" s="62"/>
      <c r="I48" s="62">
        <f>DIV_A!AG48</f>
        <v>48</v>
      </c>
      <c r="J48" s="62"/>
      <c r="K48" s="62">
        <f>DIV_A!AO48</f>
        <v>80</v>
      </c>
      <c r="L48" s="62"/>
      <c r="M48" s="62">
        <f>DIV_A!BE48</f>
        <v>31</v>
      </c>
      <c r="N48" s="62">
        <v>4</v>
      </c>
      <c r="O48" s="62">
        <f>DIV_A!BR48</f>
        <v>356</v>
      </c>
      <c r="P48" s="62">
        <v>4</v>
      </c>
      <c r="Q48" s="63">
        <f>DIV_A!BS48</f>
        <v>59.333333333333336</v>
      </c>
      <c r="R48" s="74" t="str">
        <f>DIV_A!BT48</f>
        <v>PROMOTED</v>
      </c>
    </row>
    <row r="49" spans="1:18" ht="15.95" customHeight="1" x14ac:dyDescent="0.25">
      <c r="A49" s="61">
        <v>44</v>
      </c>
      <c r="B49" s="65" t="s">
        <v>171</v>
      </c>
      <c r="C49" s="62">
        <f>DIV_A!I49</f>
        <v>73</v>
      </c>
      <c r="D49" s="62"/>
      <c r="E49" s="62">
        <f>DIV_A!Q49</f>
        <v>83</v>
      </c>
      <c r="F49" s="62"/>
      <c r="G49" s="62">
        <f>DIV_A!Y49</f>
        <v>89</v>
      </c>
      <c r="H49" s="62"/>
      <c r="I49" s="62">
        <f>DIV_A!AG49</f>
        <v>63</v>
      </c>
      <c r="J49" s="62"/>
      <c r="K49" s="62">
        <f>DIV_A!AO49</f>
        <v>85</v>
      </c>
      <c r="L49" s="62"/>
      <c r="M49" s="62">
        <f>DIV_A!BE49</f>
        <v>78</v>
      </c>
      <c r="N49" s="62"/>
      <c r="O49" s="62">
        <f>DIV_A!BR49</f>
        <v>471</v>
      </c>
      <c r="P49" s="62"/>
      <c r="Q49" s="63">
        <f>DIV_A!BS49</f>
        <v>78.5</v>
      </c>
      <c r="R49" s="74" t="str">
        <f>DIV_A!BT49</f>
        <v>GRADE I with Distinction</v>
      </c>
    </row>
    <row r="50" spans="1:18" ht="15.95" customHeight="1" x14ac:dyDescent="0.25">
      <c r="A50" s="61">
        <v>45</v>
      </c>
      <c r="B50" s="65" t="s">
        <v>172</v>
      </c>
      <c r="C50" s="62">
        <f>DIV_A!I50</f>
        <v>70</v>
      </c>
      <c r="D50" s="62"/>
      <c r="E50" s="62">
        <f>DIV_A!Q50</f>
        <v>73</v>
      </c>
      <c r="F50" s="62"/>
      <c r="G50" s="62">
        <f>DIV_A!Y50</f>
        <v>90</v>
      </c>
      <c r="H50" s="62"/>
      <c r="I50" s="62">
        <f>DIV_A!AG50</f>
        <v>64</v>
      </c>
      <c r="J50" s="62"/>
      <c r="K50" s="62">
        <f>DIV_A!AO50</f>
        <v>88</v>
      </c>
      <c r="L50" s="62"/>
      <c r="M50" s="62">
        <f>DIV_A!BE50</f>
        <v>56</v>
      </c>
      <c r="N50" s="62"/>
      <c r="O50" s="62">
        <f>DIV_A!BR50</f>
        <v>441</v>
      </c>
      <c r="P50" s="62"/>
      <c r="Q50" s="63">
        <f>DIV_A!BS50</f>
        <v>73.5</v>
      </c>
      <c r="R50" s="74" t="str">
        <f>DIV_A!BT50</f>
        <v>GRADE I</v>
      </c>
    </row>
    <row r="51" spans="1:18" ht="15.95" customHeight="1" x14ac:dyDescent="0.25">
      <c r="A51" s="61">
        <v>46</v>
      </c>
      <c r="B51" s="65" t="s">
        <v>173</v>
      </c>
      <c r="C51" s="62">
        <f>DIV_A!I51</f>
        <v>42</v>
      </c>
      <c r="D51" s="62"/>
      <c r="E51" s="62">
        <f>DIV_A!Q51</f>
        <v>51</v>
      </c>
      <c r="F51" s="62"/>
      <c r="G51" s="62">
        <f>DIV_A!Y51</f>
        <v>57</v>
      </c>
      <c r="H51" s="62"/>
      <c r="I51" s="62">
        <f>DIV_A!AG51</f>
        <v>36</v>
      </c>
      <c r="J51" s="62"/>
      <c r="K51" s="62">
        <f>DIV_A!AO51</f>
        <v>59</v>
      </c>
      <c r="L51" s="62"/>
      <c r="M51" s="62">
        <f>DIV_A!BE51</f>
        <v>29</v>
      </c>
      <c r="N51" s="62">
        <v>6</v>
      </c>
      <c r="O51" s="62">
        <f>DIV_A!BR51</f>
        <v>274</v>
      </c>
      <c r="P51" s="62">
        <v>6</v>
      </c>
      <c r="Q51" s="63">
        <f>DIV_A!BS51</f>
        <v>45.666666666666664</v>
      </c>
      <c r="R51" s="74" t="str">
        <f>DIV_A!BT51</f>
        <v>PROMOTED</v>
      </c>
    </row>
    <row r="52" spans="1:18" ht="15.95" customHeight="1" x14ac:dyDescent="0.25">
      <c r="A52" s="61">
        <v>47</v>
      </c>
      <c r="B52" s="65" t="s">
        <v>174</v>
      </c>
      <c r="C52" s="62">
        <f>DIV_A!I52</f>
        <v>73</v>
      </c>
      <c r="D52" s="62"/>
      <c r="E52" s="62">
        <f>DIV_A!Q52</f>
        <v>87</v>
      </c>
      <c r="F52" s="62"/>
      <c r="G52" s="62">
        <f>DIV_A!Y52</f>
        <v>93</v>
      </c>
      <c r="H52" s="62"/>
      <c r="I52" s="62">
        <f>DIV_A!AG52</f>
        <v>94</v>
      </c>
      <c r="J52" s="62"/>
      <c r="K52" s="62">
        <f>DIV_A!AO52</f>
        <v>96</v>
      </c>
      <c r="L52" s="62"/>
      <c r="M52" s="62">
        <f>DIV_A!BE52</f>
        <v>92</v>
      </c>
      <c r="N52" s="62"/>
      <c r="O52" s="62">
        <f>DIV_A!BR52</f>
        <v>535</v>
      </c>
      <c r="P52" s="62"/>
      <c r="Q52" s="63">
        <f>DIV_A!BS52</f>
        <v>89.166666666666671</v>
      </c>
      <c r="R52" s="74" t="str">
        <f>DIV_A!BT52</f>
        <v>GRADE I with Distinction</v>
      </c>
    </row>
    <row r="53" spans="1:18" ht="15.95" customHeight="1" x14ac:dyDescent="0.25">
      <c r="A53" s="61">
        <v>48</v>
      </c>
      <c r="B53" s="65" t="s">
        <v>175</v>
      </c>
      <c r="C53" s="62">
        <f>DIV_A!I53</f>
        <v>69</v>
      </c>
      <c r="D53" s="62"/>
      <c r="E53" s="62">
        <f>DIV_A!Q53</f>
        <v>81</v>
      </c>
      <c r="F53" s="62"/>
      <c r="G53" s="62">
        <f>DIV_A!Y53</f>
        <v>87</v>
      </c>
      <c r="H53" s="62"/>
      <c r="I53" s="62">
        <f>DIV_A!AG53</f>
        <v>61</v>
      </c>
      <c r="J53" s="62"/>
      <c r="K53" s="62">
        <f>DIV_A!AO53</f>
        <v>89</v>
      </c>
      <c r="L53" s="62"/>
      <c r="M53" s="62">
        <f>DIV_A!BE53</f>
        <v>31</v>
      </c>
      <c r="N53" s="62">
        <v>4</v>
      </c>
      <c r="O53" s="62">
        <f>DIV_A!BR53</f>
        <v>418</v>
      </c>
      <c r="P53" s="62">
        <v>4</v>
      </c>
      <c r="Q53" s="63">
        <f>DIV_A!BS53</f>
        <v>69.666666666666671</v>
      </c>
      <c r="R53" s="74" t="str">
        <f>DIV_A!BT53</f>
        <v>PROMOTED</v>
      </c>
    </row>
    <row r="54" spans="1:18" ht="15.95" customHeight="1" x14ac:dyDescent="0.25">
      <c r="A54" s="61">
        <v>49</v>
      </c>
      <c r="B54" s="65" t="s">
        <v>176</v>
      </c>
      <c r="C54" s="62">
        <f>DIV_A!I54</f>
        <v>78</v>
      </c>
      <c r="D54" s="62"/>
      <c r="E54" s="62">
        <f>DIV_A!Q54</f>
        <v>78</v>
      </c>
      <c r="F54" s="62"/>
      <c r="G54" s="62">
        <f>DIV_A!Y54</f>
        <v>93</v>
      </c>
      <c r="H54" s="62"/>
      <c r="I54" s="62">
        <f>DIV_A!AG54</f>
        <v>76</v>
      </c>
      <c r="J54" s="62"/>
      <c r="K54" s="62">
        <f>DIV_A!AO54</f>
        <v>97</v>
      </c>
      <c r="L54" s="62"/>
      <c r="M54" s="62">
        <f>DIV_A!BE54</f>
        <v>73</v>
      </c>
      <c r="N54" s="62"/>
      <c r="O54" s="62">
        <f>DIV_A!BR54</f>
        <v>495</v>
      </c>
      <c r="P54" s="62"/>
      <c r="Q54" s="63">
        <f>DIV_A!BS54</f>
        <v>82.5</v>
      </c>
      <c r="R54" s="74" t="str">
        <f>DIV_A!BT54</f>
        <v>GRADE I with Distinction</v>
      </c>
    </row>
    <row r="55" spans="1:18" ht="15.95" customHeight="1" x14ac:dyDescent="0.25">
      <c r="A55" s="61">
        <v>50</v>
      </c>
      <c r="B55" s="65" t="s">
        <v>177</v>
      </c>
      <c r="C55" s="62">
        <f>DIV_A!I55</f>
        <v>72</v>
      </c>
      <c r="D55" s="62"/>
      <c r="E55" s="62">
        <f>DIV_A!Q55</f>
        <v>66</v>
      </c>
      <c r="F55" s="62"/>
      <c r="G55" s="62">
        <f>DIV_A!Y55</f>
        <v>91</v>
      </c>
      <c r="H55" s="62"/>
      <c r="I55" s="62">
        <f>DIV_A!AG55</f>
        <v>74</v>
      </c>
      <c r="J55" s="62"/>
      <c r="K55" s="62">
        <f>DIV_A!AO55</f>
        <v>78</v>
      </c>
      <c r="L55" s="62"/>
      <c r="M55" s="62">
        <f>DIV_A!BE55</f>
        <v>60</v>
      </c>
      <c r="N55" s="62"/>
      <c r="O55" s="62">
        <f>DIV_A!BR55</f>
        <v>441</v>
      </c>
      <c r="P55" s="62"/>
      <c r="Q55" s="63">
        <f>DIV_A!BS55</f>
        <v>73.5</v>
      </c>
      <c r="R55" s="74" t="str">
        <f>DIV_A!BT55</f>
        <v>GRADE I</v>
      </c>
    </row>
    <row r="56" spans="1:18" s="82" customFormat="1" ht="15.95" customHeight="1" x14ac:dyDescent="0.25">
      <c r="A56" s="115">
        <v>51</v>
      </c>
      <c r="B56" s="116" t="s">
        <v>178</v>
      </c>
      <c r="C56" s="117">
        <f>DIV_A!I56</f>
        <v>15</v>
      </c>
      <c r="D56" s="117"/>
      <c r="E56" s="117">
        <f>DIV_A!Q56</f>
        <v>27</v>
      </c>
      <c r="F56" s="117"/>
      <c r="G56" s="117">
        <f>DIV_A!Y56</f>
        <v>16</v>
      </c>
      <c r="H56" s="117"/>
      <c r="I56" s="117">
        <f>DIV_A!AG56</f>
        <v>11</v>
      </c>
      <c r="J56" s="117"/>
      <c r="K56" s="117">
        <f>DIV_A!AO56</f>
        <v>15</v>
      </c>
      <c r="L56" s="117"/>
      <c r="M56" s="117">
        <f>DIV_A!BE56</f>
        <v>12</v>
      </c>
      <c r="N56" s="117"/>
      <c r="O56" s="117">
        <f>DIV_A!BR56</f>
        <v>96</v>
      </c>
      <c r="P56" s="117"/>
      <c r="Q56" s="118">
        <f>DIV_A!BS56</f>
        <v>16</v>
      </c>
      <c r="R56" s="119" t="str">
        <f>DIV_A!BT56</f>
        <v>FAIL</v>
      </c>
    </row>
    <row r="57" spans="1:18" ht="15.95" customHeight="1" x14ac:dyDescent="0.25">
      <c r="A57" s="61">
        <v>52</v>
      </c>
      <c r="B57" s="65" t="s">
        <v>179</v>
      </c>
      <c r="C57" s="62">
        <f>DIV_A!I57</f>
        <v>54</v>
      </c>
      <c r="D57" s="62"/>
      <c r="E57" s="62">
        <f>DIV_A!Q57</f>
        <v>61</v>
      </c>
      <c r="F57" s="62"/>
      <c r="G57" s="62">
        <f>DIV_A!Y57</f>
        <v>86</v>
      </c>
      <c r="H57" s="62"/>
      <c r="I57" s="62">
        <f>DIV_A!AG57</f>
        <v>58</v>
      </c>
      <c r="J57" s="62"/>
      <c r="K57" s="62">
        <f>DIV_A!AO57</f>
        <v>72</v>
      </c>
      <c r="L57" s="62"/>
      <c r="M57" s="62">
        <f>DIV_A!BE57</f>
        <v>73</v>
      </c>
      <c r="N57" s="62"/>
      <c r="O57" s="62">
        <f>DIV_A!BR57</f>
        <v>404</v>
      </c>
      <c r="P57" s="62"/>
      <c r="Q57" s="63">
        <f>DIV_A!BS57</f>
        <v>67.333333333333329</v>
      </c>
      <c r="R57" s="74" t="str">
        <f>DIV_A!BT57</f>
        <v>GRADE I</v>
      </c>
    </row>
    <row r="58" spans="1:18" ht="15.95" customHeight="1" x14ac:dyDescent="0.25">
      <c r="A58" s="61">
        <v>53</v>
      </c>
      <c r="B58" s="65" t="s">
        <v>180</v>
      </c>
      <c r="C58" s="62">
        <f>DIV_A!I58</f>
        <v>72</v>
      </c>
      <c r="D58" s="62"/>
      <c r="E58" s="62">
        <f>DIV_A!Q58</f>
        <v>75</v>
      </c>
      <c r="F58" s="62"/>
      <c r="G58" s="62">
        <f>DIV_A!Y58</f>
        <v>89</v>
      </c>
      <c r="H58" s="62"/>
      <c r="I58" s="62">
        <f>DIV_A!AG58</f>
        <v>79</v>
      </c>
      <c r="J58" s="62"/>
      <c r="K58" s="62">
        <f>DIV_A!AO58</f>
        <v>92</v>
      </c>
      <c r="L58" s="62"/>
      <c r="M58" s="62">
        <f>DIV_A!BE58</f>
        <v>81</v>
      </c>
      <c r="N58" s="62"/>
      <c r="O58" s="62">
        <f>DIV_A!BR58</f>
        <v>488</v>
      </c>
      <c r="P58" s="62"/>
      <c r="Q58" s="63">
        <f>DIV_A!BS58</f>
        <v>81.333333333333329</v>
      </c>
      <c r="R58" s="74" t="str">
        <f>DIV_A!BT58</f>
        <v>GRADE I with Distinction</v>
      </c>
    </row>
    <row r="59" spans="1:18" ht="15.95" customHeight="1" x14ac:dyDescent="0.25">
      <c r="A59" s="61">
        <v>54</v>
      </c>
      <c r="B59" s="65" t="s">
        <v>181</v>
      </c>
      <c r="C59" s="62">
        <f>DIV_A!I59</f>
        <v>49</v>
      </c>
      <c r="D59" s="62"/>
      <c r="E59" s="62">
        <f>DIV_A!Q59</f>
        <v>70</v>
      </c>
      <c r="F59" s="62"/>
      <c r="G59" s="62">
        <f>DIV_A!Y59</f>
        <v>60</v>
      </c>
      <c r="H59" s="62"/>
      <c r="I59" s="62">
        <f>DIV_A!AG59</f>
        <v>46</v>
      </c>
      <c r="J59" s="62"/>
      <c r="K59" s="62">
        <f>DIV_A!AO59</f>
        <v>60</v>
      </c>
      <c r="L59" s="62"/>
      <c r="M59" s="62">
        <f>DIV_A!BE59</f>
        <v>38</v>
      </c>
      <c r="N59" s="62"/>
      <c r="O59" s="62">
        <f>DIV_A!BR59</f>
        <v>323</v>
      </c>
      <c r="P59" s="62"/>
      <c r="Q59" s="63">
        <f>DIV_A!BS59</f>
        <v>53.833333333333336</v>
      </c>
      <c r="R59" s="74" t="str">
        <f>DIV_A!BT59</f>
        <v>GRADE II</v>
      </c>
    </row>
    <row r="60" spans="1:18" ht="15.95" customHeight="1" x14ac:dyDescent="0.25">
      <c r="A60" s="61">
        <v>55</v>
      </c>
      <c r="B60" s="65" t="s">
        <v>182</v>
      </c>
      <c r="C60" s="62">
        <f>DIV_A!I60</f>
        <v>70</v>
      </c>
      <c r="D60" s="62"/>
      <c r="E60" s="62">
        <f>DIV_A!Q60</f>
        <v>78</v>
      </c>
      <c r="F60" s="62"/>
      <c r="G60" s="62">
        <f>DIV_A!Y60</f>
        <v>91</v>
      </c>
      <c r="H60" s="62"/>
      <c r="I60" s="62">
        <f>DIV_A!AG60</f>
        <v>81</v>
      </c>
      <c r="J60" s="62"/>
      <c r="K60" s="62">
        <f>DIV_A!AO60</f>
        <v>91</v>
      </c>
      <c r="L60" s="62"/>
      <c r="M60" s="62">
        <f>DIV_A!BE60</f>
        <v>87</v>
      </c>
      <c r="N60" s="62"/>
      <c r="O60" s="62">
        <f>DIV_A!BR60</f>
        <v>498</v>
      </c>
      <c r="P60" s="62"/>
      <c r="Q60" s="63">
        <f>DIV_A!BS60</f>
        <v>83</v>
      </c>
      <c r="R60" s="74" t="str">
        <f>DIV_A!BT60</f>
        <v>GRADE I with Distinction</v>
      </c>
    </row>
    <row r="61" spans="1:18" ht="15.95" customHeight="1" x14ac:dyDescent="0.25">
      <c r="A61" s="61">
        <v>56</v>
      </c>
      <c r="B61" s="65" t="s">
        <v>183</v>
      </c>
      <c r="C61" s="62">
        <f>DIV_A!I61</f>
        <v>58</v>
      </c>
      <c r="D61" s="62"/>
      <c r="E61" s="62">
        <f>DIV_A!Q61</f>
        <v>75</v>
      </c>
      <c r="F61" s="62"/>
      <c r="G61" s="62">
        <f>DIV_A!Y61</f>
        <v>87</v>
      </c>
      <c r="H61" s="62"/>
      <c r="I61" s="62">
        <f>DIV_A!AG61</f>
        <v>72</v>
      </c>
      <c r="J61" s="62"/>
      <c r="K61" s="62">
        <f>DIV_A!AO61</f>
        <v>80</v>
      </c>
      <c r="L61" s="62"/>
      <c r="M61" s="62">
        <f>DIV_A!BE61</f>
        <v>76</v>
      </c>
      <c r="N61" s="62"/>
      <c r="O61" s="62">
        <f>DIV_A!BR61</f>
        <v>448</v>
      </c>
      <c r="P61" s="62"/>
      <c r="Q61" s="63">
        <f>DIV_A!BS61</f>
        <v>74.666666666666671</v>
      </c>
      <c r="R61" s="74" t="str">
        <f>DIV_A!BT61</f>
        <v>GRADE I</v>
      </c>
    </row>
    <row r="62" spans="1:18" ht="15.95" customHeight="1" x14ac:dyDescent="0.25">
      <c r="A62" s="61">
        <v>57</v>
      </c>
      <c r="B62" s="65" t="s">
        <v>184</v>
      </c>
      <c r="C62" s="62">
        <f>DIV_A!I62</f>
        <v>59</v>
      </c>
      <c r="D62" s="62"/>
      <c r="E62" s="62">
        <f>DIV_A!Q62</f>
        <v>64</v>
      </c>
      <c r="F62" s="62"/>
      <c r="G62" s="62">
        <f>DIV_A!Y62</f>
        <v>81</v>
      </c>
      <c r="H62" s="62"/>
      <c r="I62" s="62">
        <f>DIV_A!AG62</f>
        <v>58</v>
      </c>
      <c r="J62" s="62"/>
      <c r="K62" s="62">
        <f>DIV_A!AO62</f>
        <v>76</v>
      </c>
      <c r="L62" s="62"/>
      <c r="M62" s="62">
        <f>DIV_A!BE62</f>
        <v>64</v>
      </c>
      <c r="N62" s="62"/>
      <c r="O62" s="62">
        <f>DIV_A!BR62</f>
        <v>402</v>
      </c>
      <c r="P62" s="62"/>
      <c r="Q62" s="63">
        <f>DIV_A!BS62</f>
        <v>67</v>
      </c>
      <c r="R62" s="74" t="str">
        <f>DIV_A!BT62</f>
        <v>GRADE I</v>
      </c>
    </row>
    <row r="63" spans="1:18" ht="15.95" customHeight="1" x14ac:dyDescent="0.25">
      <c r="A63" s="61">
        <v>58</v>
      </c>
      <c r="B63" s="65" t="s">
        <v>185</v>
      </c>
      <c r="C63" s="62">
        <f>DIV_A!I63</f>
        <v>45</v>
      </c>
      <c r="D63" s="62"/>
      <c r="E63" s="62">
        <f>DIV_A!Q63</f>
        <v>71</v>
      </c>
      <c r="F63" s="62"/>
      <c r="G63" s="62">
        <f>DIV_A!Y63</f>
        <v>70</v>
      </c>
      <c r="H63" s="62"/>
      <c r="I63" s="62">
        <f>DIV_A!AG63</f>
        <v>56</v>
      </c>
      <c r="J63" s="62"/>
      <c r="K63" s="62">
        <f>DIV_A!AO63</f>
        <v>59</v>
      </c>
      <c r="L63" s="62"/>
      <c r="M63" s="62">
        <f>DIV_A!BE63</f>
        <v>57</v>
      </c>
      <c r="N63" s="62"/>
      <c r="O63" s="62" t="str">
        <f>DIV_A!BR63</f>
        <v>358 #2</v>
      </c>
      <c r="P63" s="62"/>
      <c r="Q63" s="63">
        <f>DIV_A!BS63</f>
        <v>60</v>
      </c>
      <c r="R63" s="74" t="str">
        <f>DIV_A!BT63</f>
        <v>GRADE I</v>
      </c>
    </row>
    <row r="64" spans="1:18" ht="15.95" customHeight="1" x14ac:dyDescent="0.25">
      <c r="A64" s="61">
        <v>59</v>
      </c>
      <c r="B64" s="65" t="s">
        <v>186</v>
      </c>
      <c r="C64" s="62">
        <f>DIV_A!I64</f>
        <v>53</v>
      </c>
      <c r="D64" s="62"/>
      <c r="E64" s="62">
        <f>DIV_A!Q64</f>
        <v>63</v>
      </c>
      <c r="F64" s="62"/>
      <c r="G64" s="62">
        <f>DIV_A!Y64</f>
        <v>51</v>
      </c>
      <c r="H64" s="62"/>
      <c r="I64" s="62">
        <f>DIV_A!AG64</f>
        <v>38</v>
      </c>
      <c r="J64" s="62"/>
      <c r="K64" s="62">
        <f>DIV_A!AO64</f>
        <v>55</v>
      </c>
      <c r="L64" s="62"/>
      <c r="M64" s="62">
        <f>DIV_A!BE64</f>
        <v>38</v>
      </c>
      <c r="N64" s="62"/>
      <c r="O64" s="62">
        <f>DIV_A!BR64</f>
        <v>298</v>
      </c>
      <c r="P64" s="62"/>
      <c r="Q64" s="63">
        <f>DIV_A!BS64</f>
        <v>49.666666666666664</v>
      </c>
      <c r="R64" s="74" t="str">
        <f>DIV_A!BT64</f>
        <v>GRADE II</v>
      </c>
    </row>
    <row r="65" spans="1:18" ht="15.95" customHeight="1" x14ac:dyDescent="0.25">
      <c r="A65" s="61">
        <v>60</v>
      </c>
      <c r="B65" s="66" t="s">
        <v>187</v>
      </c>
      <c r="C65" s="62">
        <f>DIV_A!I65</f>
        <v>71</v>
      </c>
      <c r="D65" s="62"/>
      <c r="E65" s="62">
        <f>DIV_A!Q65</f>
        <v>95</v>
      </c>
      <c r="F65" s="62"/>
      <c r="G65" s="62">
        <f>DIV_A!Y65</f>
        <v>92</v>
      </c>
      <c r="H65" s="62"/>
      <c r="I65" s="62">
        <f>DIV_A!AG65</f>
        <v>97</v>
      </c>
      <c r="J65" s="62"/>
      <c r="K65" s="62">
        <f>DIV_A!AO65</f>
        <v>98</v>
      </c>
      <c r="L65" s="62"/>
      <c r="M65" s="62">
        <f>DIV_A!BE65</f>
        <v>93</v>
      </c>
      <c r="N65" s="62"/>
      <c r="O65" s="62">
        <f>DIV_A!BR65</f>
        <v>546</v>
      </c>
      <c r="P65" s="62"/>
      <c r="Q65" s="63">
        <f>DIV_A!BS65</f>
        <v>91</v>
      </c>
      <c r="R65" s="74" t="str">
        <f>DIV_A!BT65</f>
        <v>GRADE I with Distinction</v>
      </c>
    </row>
    <row r="66" spans="1:18" ht="15.95" customHeight="1" x14ac:dyDescent="0.25">
      <c r="A66" s="61">
        <v>61</v>
      </c>
      <c r="B66" s="65" t="s">
        <v>188</v>
      </c>
      <c r="C66" s="62">
        <f>DIV_A!I66</f>
        <v>70</v>
      </c>
      <c r="D66" s="62"/>
      <c r="E66" s="62">
        <f>DIV_A!Q66</f>
        <v>83</v>
      </c>
      <c r="F66" s="62"/>
      <c r="G66" s="62">
        <f>DIV_A!Y66</f>
        <v>91</v>
      </c>
      <c r="H66" s="62"/>
      <c r="I66" s="62">
        <f>DIV_A!AG66</f>
        <v>80</v>
      </c>
      <c r="J66" s="62"/>
      <c r="K66" s="62">
        <f>DIV_A!AO66</f>
        <v>97</v>
      </c>
      <c r="L66" s="62"/>
      <c r="M66" s="62">
        <f>DIV_A!BE66</f>
        <v>87</v>
      </c>
      <c r="N66" s="62"/>
      <c r="O66" s="62">
        <f>DIV_A!BR66</f>
        <v>508</v>
      </c>
      <c r="P66" s="62"/>
      <c r="Q66" s="63">
        <f>DIV_A!BS66</f>
        <v>84.666666666666671</v>
      </c>
      <c r="R66" s="74" t="str">
        <f>DIV_A!BT66</f>
        <v>GRADE I with Distinction</v>
      </c>
    </row>
    <row r="67" spans="1:18" ht="15.95" customHeight="1" x14ac:dyDescent="0.25">
      <c r="A67" s="61">
        <v>62</v>
      </c>
      <c r="B67" s="67" t="s">
        <v>189</v>
      </c>
      <c r="C67" s="62">
        <f>DIV_A!I67</f>
        <v>45</v>
      </c>
      <c r="D67" s="62"/>
      <c r="E67" s="62">
        <f>DIV_A!Q67</f>
        <v>33</v>
      </c>
      <c r="F67" s="62">
        <v>2</v>
      </c>
      <c r="G67" s="62">
        <f>DIV_A!Y67</f>
        <v>58</v>
      </c>
      <c r="H67" s="62"/>
      <c r="I67" s="62">
        <f>DIV_A!AG67</f>
        <v>32</v>
      </c>
      <c r="J67" s="62">
        <v>3</v>
      </c>
      <c r="K67" s="62">
        <f>DIV_A!AO67</f>
        <v>44</v>
      </c>
      <c r="L67" s="62"/>
      <c r="M67" s="62">
        <f>DIV_A!BE67</f>
        <v>25</v>
      </c>
      <c r="N67" s="62">
        <v>10</v>
      </c>
      <c r="O67" s="62">
        <f>DIV_A!BR67</f>
        <v>237</v>
      </c>
      <c r="P67" s="62">
        <v>15</v>
      </c>
      <c r="Q67" s="63">
        <f>DIV_A!BS67</f>
        <v>39.5</v>
      </c>
      <c r="R67" s="74" t="str">
        <f>DIV_A!BT67</f>
        <v>PROMOTED</v>
      </c>
    </row>
    <row r="68" spans="1:18" ht="15.95" customHeight="1" x14ac:dyDescent="0.25">
      <c r="A68" s="61">
        <v>63</v>
      </c>
      <c r="B68" s="65" t="s">
        <v>190</v>
      </c>
      <c r="C68" s="62">
        <f>DIV_A!I68</f>
        <v>46</v>
      </c>
      <c r="D68" s="62"/>
      <c r="E68" s="62">
        <f>DIV_A!Q68</f>
        <v>43</v>
      </c>
      <c r="F68" s="62"/>
      <c r="G68" s="62">
        <f>DIV_A!Y68</f>
        <v>68</v>
      </c>
      <c r="H68" s="62"/>
      <c r="I68" s="62">
        <f>DIV_A!AG68</f>
        <v>47</v>
      </c>
      <c r="J68" s="62"/>
      <c r="K68" s="62">
        <f>DIV_A!AO68</f>
        <v>61</v>
      </c>
      <c r="L68" s="62"/>
      <c r="M68" s="62">
        <f>DIV_A!BE68</f>
        <v>40</v>
      </c>
      <c r="N68" s="62"/>
      <c r="O68" s="62">
        <f>DIV_A!BR68</f>
        <v>305</v>
      </c>
      <c r="P68" s="62"/>
      <c r="Q68" s="63">
        <f>DIV_A!BS68</f>
        <v>50.833333333333336</v>
      </c>
      <c r="R68" s="74" t="str">
        <f>DIV_A!BT68</f>
        <v>GRADE II</v>
      </c>
    </row>
    <row r="69" spans="1:18" ht="15.95" customHeight="1" x14ac:dyDescent="0.25">
      <c r="A69" s="61">
        <v>64</v>
      </c>
      <c r="B69" s="65" t="s">
        <v>191</v>
      </c>
      <c r="C69" s="62">
        <f>DIV_A!I69</f>
        <v>44</v>
      </c>
      <c r="D69" s="62"/>
      <c r="E69" s="62">
        <f>DIV_A!Q69</f>
        <v>41</v>
      </c>
      <c r="F69" s="62"/>
      <c r="G69" s="62">
        <f>DIV_A!Y69</f>
        <v>53</v>
      </c>
      <c r="H69" s="62"/>
      <c r="I69" s="62">
        <f>DIV_A!AG69</f>
        <v>45</v>
      </c>
      <c r="J69" s="62"/>
      <c r="K69" s="62">
        <f>DIV_A!AO69</f>
        <v>48</v>
      </c>
      <c r="L69" s="62"/>
      <c r="M69" s="62">
        <f>DIV_A!BE69</f>
        <v>41</v>
      </c>
      <c r="N69" s="62"/>
      <c r="O69" s="62">
        <f>DIV_A!BR69</f>
        <v>272</v>
      </c>
      <c r="P69" s="62"/>
      <c r="Q69" s="63">
        <f>DIV_A!BS69</f>
        <v>45.333333333333336</v>
      </c>
      <c r="R69" s="74" t="str">
        <f>DIV_A!BT69</f>
        <v>GRADE II</v>
      </c>
    </row>
    <row r="70" spans="1:18" ht="15.95" customHeight="1" x14ac:dyDescent="0.25">
      <c r="A70" s="61">
        <v>65</v>
      </c>
      <c r="B70" s="65" t="s">
        <v>192</v>
      </c>
      <c r="C70" s="62">
        <f>DIV_A!I70</f>
        <v>45</v>
      </c>
      <c r="D70" s="62"/>
      <c r="E70" s="62">
        <f>DIV_A!Q70</f>
        <v>36</v>
      </c>
      <c r="F70" s="62"/>
      <c r="G70" s="62">
        <f>DIV_A!Y70</f>
        <v>64</v>
      </c>
      <c r="H70" s="62"/>
      <c r="I70" s="62">
        <f>DIV_A!AG70</f>
        <v>51</v>
      </c>
      <c r="J70" s="62"/>
      <c r="K70" s="62">
        <f>DIV_A!AO70</f>
        <v>62</v>
      </c>
      <c r="L70" s="62"/>
      <c r="M70" s="62">
        <f>DIV_A!BE70</f>
        <v>35</v>
      </c>
      <c r="N70" s="62"/>
      <c r="O70" s="62">
        <f>DIV_A!BR70</f>
        <v>293</v>
      </c>
      <c r="P70" s="62"/>
      <c r="Q70" s="63">
        <f>DIV_A!BS70</f>
        <v>48.833333333333336</v>
      </c>
      <c r="R70" s="74" t="str">
        <f>DIV_A!BT70</f>
        <v>GRADE II</v>
      </c>
    </row>
    <row r="71" spans="1:18" ht="15.95" customHeight="1" x14ac:dyDescent="0.25">
      <c r="A71" s="61">
        <v>66</v>
      </c>
      <c r="B71" s="65" t="s">
        <v>193</v>
      </c>
      <c r="C71" s="62">
        <f>DIV_A!I71</f>
        <v>55</v>
      </c>
      <c r="D71" s="62"/>
      <c r="E71" s="62">
        <f>DIV_A!Q71</f>
        <v>66</v>
      </c>
      <c r="F71" s="62"/>
      <c r="G71" s="62">
        <f>DIV_A!Y71</f>
        <v>88</v>
      </c>
      <c r="H71" s="62"/>
      <c r="I71" s="62">
        <f>DIV_A!AG71</f>
        <v>64</v>
      </c>
      <c r="J71" s="62"/>
      <c r="K71" s="62">
        <f>DIV_A!AO71</f>
        <v>82</v>
      </c>
      <c r="L71" s="62"/>
      <c r="M71" s="62">
        <f>DIV_A!BE71</f>
        <v>65</v>
      </c>
      <c r="N71" s="62"/>
      <c r="O71" s="62">
        <f>DIV_A!BR71</f>
        <v>420</v>
      </c>
      <c r="P71" s="62"/>
      <c r="Q71" s="63">
        <f>DIV_A!BS71</f>
        <v>70</v>
      </c>
      <c r="R71" s="74" t="str">
        <f>DIV_A!BT71</f>
        <v>GRADE I</v>
      </c>
    </row>
    <row r="72" spans="1:18" ht="15.95" customHeight="1" x14ac:dyDescent="0.25">
      <c r="A72" s="61">
        <v>67</v>
      </c>
      <c r="B72" s="65" t="s">
        <v>194</v>
      </c>
      <c r="C72" s="62">
        <f>DIV_A!I72</f>
        <v>30</v>
      </c>
      <c r="D72" s="62">
        <v>5</v>
      </c>
      <c r="E72" s="62">
        <f>DIV_A!Q72</f>
        <v>30</v>
      </c>
      <c r="F72" s="62">
        <v>5</v>
      </c>
      <c r="G72" s="62">
        <f>DIV_A!Y72</f>
        <v>45</v>
      </c>
      <c r="H72" s="62"/>
      <c r="I72" s="62">
        <f>DIV_A!AG72</f>
        <v>36</v>
      </c>
      <c r="J72" s="62"/>
      <c r="K72" s="62">
        <f>DIV_A!AO72</f>
        <v>35</v>
      </c>
      <c r="L72" s="62"/>
      <c r="M72" s="62">
        <f>DIV_A!BE72</f>
        <v>30</v>
      </c>
      <c r="N72" s="62">
        <v>5</v>
      </c>
      <c r="O72" s="62">
        <f>DIV_A!BR72</f>
        <v>206</v>
      </c>
      <c r="P72" s="62">
        <v>15</v>
      </c>
      <c r="Q72" s="63">
        <f>DIV_A!BS72</f>
        <v>34.333333333333336</v>
      </c>
      <c r="R72" s="74" t="str">
        <f>DIV_A!BT72</f>
        <v>PROMOTED</v>
      </c>
    </row>
    <row r="73" spans="1:18" ht="15.95" customHeight="1" x14ac:dyDescent="0.25">
      <c r="A73" s="61">
        <v>68</v>
      </c>
      <c r="B73" s="65" t="s">
        <v>195</v>
      </c>
      <c r="C73" s="62">
        <f>DIV_A!I73</f>
        <v>66</v>
      </c>
      <c r="D73" s="62"/>
      <c r="E73" s="62">
        <f>DIV_A!Q73</f>
        <v>60</v>
      </c>
      <c r="F73" s="62"/>
      <c r="G73" s="62">
        <f>DIV_A!Y73</f>
        <v>82</v>
      </c>
      <c r="H73" s="62"/>
      <c r="I73" s="62">
        <f>DIV_A!AG73</f>
        <v>84</v>
      </c>
      <c r="J73" s="62"/>
      <c r="K73" s="62">
        <f>DIV_A!AO73</f>
        <v>83</v>
      </c>
      <c r="L73" s="62"/>
      <c r="M73" s="62">
        <f>DIV_A!BE73</f>
        <v>81</v>
      </c>
      <c r="N73" s="62"/>
      <c r="O73" s="62">
        <f>DIV_A!BR73</f>
        <v>456</v>
      </c>
      <c r="P73" s="62"/>
      <c r="Q73" s="63">
        <f>DIV_A!BS73</f>
        <v>76</v>
      </c>
      <c r="R73" s="74" t="str">
        <f>DIV_A!BT73</f>
        <v>GRADE I with Distinction</v>
      </c>
    </row>
    <row r="74" spans="1:18" ht="15.95" customHeight="1" x14ac:dyDescent="0.25">
      <c r="A74" s="61">
        <v>69</v>
      </c>
      <c r="B74" s="65" t="s">
        <v>196</v>
      </c>
      <c r="C74" s="62">
        <f>DIV_A!I74</f>
        <v>69</v>
      </c>
      <c r="D74" s="62"/>
      <c r="E74" s="62">
        <f>DIV_A!Q74</f>
        <v>75</v>
      </c>
      <c r="F74" s="62"/>
      <c r="G74" s="62">
        <f>DIV_A!Y74</f>
        <v>91</v>
      </c>
      <c r="H74" s="62"/>
      <c r="I74" s="62">
        <f>DIV_A!AG74</f>
        <v>72</v>
      </c>
      <c r="J74" s="62"/>
      <c r="K74" s="62">
        <f>DIV_A!AO74</f>
        <v>88</v>
      </c>
      <c r="L74" s="62"/>
      <c r="M74" s="62">
        <f>DIV_A!BE74</f>
        <v>71</v>
      </c>
      <c r="N74" s="62"/>
      <c r="O74" s="62">
        <f>DIV_A!BR74</f>
        <v>466</v>
      </c>
      <c r="P74" s="62"/>
      <c r="Q74" s="63">
        <f>DIV_A!BS74</f>
        <v>77.666666666666671</v>
      </c>
      <c r="R74" s="74" t="str">
        <f>DIV_A!BT74</f>
        <v>GRADE I with Distinction</v>
      </c>
    </row>
    <row r="75" spans="1:18" ht="15.95" customHeight="1" x14ac:dyDescent="0.25">
      <c r="A75" s="61">
        <v>70</v>
      </c>
      <c r="B75" s="65" t="s">
        <v>197</v>
      </c>
      <c r="C75" s="62">
        <f>DIV_A!I75</f>
        <v>54</v>
      </c>
      <c r="D75" s="62"/>
      <c r="E75" s="62">
        <f>DIV_A!Q75</f>
        <v>69</v>
      </c>
      <c r="F75" s="62"/>
      <c r="G75" s="62">
        <f>DIV_A!Y75</f>
        <v>87</v>
      </c>
      <c r="H75" s="62"/>
      <c r="I75" s="62">
        <f>DIV_A!AG75</f>
        <v>61</v>
      </c>
      <c r="J75" s="62"/>
      <c r="K75" s="62">
        <f>DIV_A!AO75</f>
        <v>80</v>
      </c>
      <c r="L75" s="62"/>
      <c r="M75" s="62">
        <f>DIV_A!BE75</f>
        <v>63</v>
      </c>
      <c r="N75" s="62"/>
      <c r="O75" s="62">
        <f>DIV_A!BR75</f>
        <v>414</v>
      </c>
      <c r="P75" s="62"/>
      <c r="Q75" s="63">
        <f>DIV_A!BS75</f>
        <v>69</v>
      </c>
      <c r="R75" s="74" t="str">
        <f>DIV_A!BT75</f>
        <v>GRADE I</v>
      </c>
    </row>
    <row r="76" spans="1:18" ht="15.95" customHeight="1" x14ac:dyDescent="0.25">
      <c r="A76" s="61">
        <v>71</v>
      </c>
      <c r="B76" s="65" t="s">
        <v>198</v>
      </c>
      <c r="C76" s="62">
        <f>DIV_A!I76</f>
        <v>62</v>
      </c>
      <c r="D76" s="62"/>
      <c r="E76" s="62">
        <f>DIV_A!Q76</f>
        <v>64</v>
      </c>
      <c r="F76" s="62"/>
      <c r="G76" s="62">
        <f>DIV_A!Y76</f>
        <v>80</v>
      </c>
      <c r="H76" s="62"/>
      <c r="I76" s="62">
        <f>DIV_A!AG76</f>
        <v>62</v>
      </c>
      <c r="J76" s="62"/>
      <c r="K76" s="62">
        <f>DIV_A!AO76</f>
        <v>76</v>
      </c>
      <c r="L76" s="62"/>
      <c r="M76" s="62">
        <f>DIV_A!BE76</f>
        <v>48</v>
      </c>
      <c r="N76" s="62"/>
      <c r="O76" s="62">
        <f>DIV_A!BR76</f>
        <v>392</v>
      </c>
      <c r="P76" s="62"/>
      <c r="Q76" s="63">
        <f>DIV_A!BS76</f>
        <v>65.333333333333329</v>
      </c>
      <c r="R76" s="74" t="str">
        <f>DIV_A!BT76</f>
        <v>GRADE I</v>
      </c>
    </row>
    <row r="77" spans="1:18" ht="15.95" customHeight="1" x14ac:dyDescent="0.25">
      <c r="A77" s="61">
        <v>72</v>
      </c>
      <c r="B77" s="66" t="s">
        <v>199</v>
      </c>
      <c r="C77" s="62">
        <f>DIV_A!I77</f>
        <v>44</v>
      </c>
      <c r="D77" s="62"/>
      <c r="E77" s="62">
        <f>DIV_A!Q77</f>
        <v>38</v>
      </c>
      <c r="F77" s="62"/>
      <c r="G77" s="62">
        <f>DIV_A!Y77</f>
        <v>35</v>
      </c>
      <c r="H77" s="62"/>
      <c r="I77" s="62">
        <f>DIV_A!AG77</f>
        <v>29</v>
      </c>
      <c r="J77" s="62">
        <v>6</v>
      </c>
      <c r="K77" s="62">
        <f>DIV_A!AO77</f>
        <v>35</v>
      </c>
      <c r="L77" s="62"/>
      <c r="M77" s="62">
        <f>DIV_A!BE77</f>
        <v>30</v>
      </c>
      <c r="N77" s="62">
        <v>5</v>
      </c>
      <c r="O77" s="62">
        <f>DIV_A!BR77</f>
        <v>211</v>
      </c>
      <c r="P77" s="62">
        <v>11</v>
      </c>
      <c r="Q77" s="63">
        <f>DIV_A!BS77</f>
        <v>35.166666666666664</v>
      </c>
      <c r="R77" s="74" t="str">
        <f>DIV_A!BT77</f>
        <v>PROMOTED</v>
      </c>
    </row>
    <row r="78" spans="1:18" s="82" customFormat="1" ht="15.95" customHeight="1" x14ac:dyDescent="0.25">
      <c r="A78" s="115">
        <v>73</v>
      </c>
      <c r="B78" s="116" t="s">
        <v>200</v>
      </c>
      <c r="C78" s="117">
        <f>DIV_A!I78</f>
        <v>32</v>
      </c>
      <c r="D78" s="117"/>
      <c r="E78" s="117">
        <f>DIV_A!Q78</f>
        <v>27</v>
      </c>
      <c r="F78" s="117"/>
      <c r="G78" s="117">
        <f>DIV_A!Y78</f>
        <v>34</v>
      </c>
      <c r="H78" s="117"/>
      <c r="I78" s="117">
        <f>DIV_A!AG78</f>
        <v>19</v>
      </c>
      <c r="J78" s="117"/>
      <c r="K78" s="117">
        <f>DIV_A!AO78</f>
        <v>23</v>
      </c>
      <c r="L78" s="117"/>
      <c r="M78" s="117">
        <f>DIV_A!BE78</f>
        <v>15</v>
      </c>
      <c r="N78" s="117"/>
      <c r="O78" s="117">
        <f>DIV_A!BR78</f>
        <v>150</v>
      </c>
      <c r="P78" s="117"/>
      <c r="Q78" s="118">
        <f>DIV_A!BS78</f>
        <v>25</v>
      </c>
      <c r="R78" s="119" t="str">
        <f>DIV_A!BT78</f>
        <v>FAIL</v>
      </c>
    </row>
    <row r="79" spans="1:18" ht="15.95" customHeight="1" x14ac:dyDescent="0.25">
      <c r="A79" s="61">
        <v>74</v>
      </c>
      <c r="B79" s="65" t="s">
        <v>201</v>
      </c>
      <c r="C79" s="62">
        <f>DIV_A!I79</f>
        <v>66</v>
      </c>
      <c r="D79" s="62"/>
      <c r="E79" s="62">
        <f>DIV_A!Q79</f>
        <v>80</v>
      </c>
      <c r="F79" s="62"/>
      <c r="G79" s="62">
        <f>DIV_A!Y79</f>
        <v>95</v>
      </c>
      <c r="H79" s="62"/>
      <c r="I79" s="62">
        <f>DIV_A!AG79</f>
        <v>87</v>
      </c>
      <c r="J79" s="62"/>
      <c r="K79" s="62">
        <f>DIV_A!AO79</f>
        <v>95</v>
      </c>
      <c r="L79" s="62"/>
      <c r="M79" s="62">
        <f>DIV_A!BE79</f>
        <v>77</v>
      </c>
      <c r="N79" s="62"/>
      <c r="O79" s="62">
        <f>DIV_A!BR79</f>
        <v>500</v>
      </c>
      <c r="P79" s="62"/>
      <c r="Q79" s="63">
        <f>DIV_A!BS79</f>
        <v>83.333333333333329</v>
      </c>
      <c r="R79" s="74" t="str">
        <f>DIV_A!BT79</f>
        <v>GRADE I with Distinction</v>
      </c>
    </row>
    <row r="80" spans="1:18" ht="15.95" customHeight="1" x14ac:dyDescent="0.25">
      <c r="A80" s="61">
        <v>75</v>
      </c>
      <c r="B80" s="65" t="s">
        <v>202</v>
      </c>
      <c r="C80" s="62">
        <f>DIV_A!I80</f>
        <v>35</v>
      </c>
      <c r="D80" s="62"/>
      <c r="E80" s="62">
        <f>DIV_A!Q80</f>
        <v>48</v>
      </c>
      <c r="F80" s="62"/>
      <c r="G80" s="62">
        <f>DIV_A!Y80</f>
        <v>54</v>
      </c>
      <c r="H80" s="62"/>
      <c r="I80" s="62">
        <f>DIV_A!AG80</f>
        <v>48</v>
      </c>
      <c r="J80" s="62"/>
      <c r="K80" s="62">
        <f>DIV_A!AO80</f>
        <v>54</v>
      </c>
      <c r="L80" s="62"/>
      <c r="M80" s="62">
        <f>DIV_A!BE80</f>
        <v>45</v>
      </c>
      <c r="N80" s="62"/>
      <c r="O80" s="62">
        <f>DIV_A!BR80</f>
        <v>284</v>
      </c>
      <c r="P80" s="62"/>
      <c r="Q80" s="63">
        <f>DIV_A!BS80</f>
        <v>47.333333333333336</v>
      </c>
      <c r="R80" s="74" t="str">
        <f>DIV_A!BT80</f>
        <v>GRADE II</v>
      </c>
    </row>
    <row r="81" spans="1:18" ht="15.95" customHeight="1" x14ac:dyDescent="0.25">
      <c r="A81" s="61">
        <v>76</v>
      </c>
      <c r="B81" s="65" t="s">
        <v>203</v>
      </c>
      <c r="C81" s="62">
        <f>DIV_A!I81</f>
        <v>57</v>
      </c>
      <c r="D81" s="62"/>
      <c r="E81" s="62">
        <f>DIV_A!Q81</f>
        <v>67</v>
      </c>
      <c r="F81" s="62"/>
      <c r="G81" s="62">
        <f>DIV_A!Y81</f>
        <v>71</v>
      </c>
      <c r="H81" s="62"/>
      <c r="I81" s="62">
        <f>DIV_A!AG81</f>
        <v>75</v>
      </c>
      <c r="J81" s="62"/>
      <c r="K81" s="62">
        <f>DIV_A!AO81</f>
        <v>75</v>
      </c>
      <c r="L81" s="62"/>
      <c r="M81" s="62">
        <f>DIV_A!BE81</f>
        <v>76</v>
      </c>
      <c r="N81" s="62"/>
      <c r="O81" s="62">
        <f>DIV_A!BR81</f>
        <v>421</v>
      </c>
      <c r="P81" s="62"/>
      <c r="Q81" s="63">
        <f>DIV_A!BS81</f>
        <v>70.166666666666671</v>
      </c>
      <c r="R81" s="74" t="str">
        <f>DIV_A!BT81</f>
        <v>GRADE I</v>
      </c>
    </row>
    <row r="82" spans="1:18" ht="15.95" customHeight="1" x14ac:dyDescent="0.25">
      <c r="A82" s="61">
        <v>77</v>
      </c>
      <c r="B82" s="65" t="s">
        <v>204</v>
      </c>
      <c r="C82" s="62">
        <f>DIV_A!I82</f>
        <v>68</v>
      </c>
      <c r="D82" s="62"/>
      <c r="E82" s="62">
        <f>DIV_A!Q82</f>
        <v>75</v>
      </c>
      <c r="F82" s="62"/>
      <c r="G82" s="62">
        <f>DIV_A!Y82</f>
        <v>92</v>
      </c>
      <c r="H82" s="62"/>
      <c r="I82" s="62">
        <f>DIV_A!AG82</f>
        <v>80</v>
      </c>
      <c r="J82" s="62"/>
      <c r="K82" s="62">
        <f>DIV_A!AO82</f>
        <v>91</v>
      </c>
      <c r="L82" s="62"/>
      <c r="M82" s="62">
        <f>DIV_A!BE82</f>
        <v>75</v>
      </c>
      <c r="N82" s="62"/>
      <c r="O82" s="62">
        <f>DIV_A!BR82</f>
        <v>481</v>
      </c>
      <c r="P82" s="62"/>
      <c r="Q82" s="63">
        <f>DIV_A!BS82</f>
        <v>80.166666666666671</v>
      </c>
      <c r="R82" s="74" t="str">
        <f>DIV_A!BT82</f>
        <v>GRADE I with Distinction</v>
      </c>
    </row>
    <row r="83" spans="1:18" ht="15.95" customHeight="1" x14ac:dyDescent="0.25">
      <c r="A83" s="61">
        <v>78</v>
      </c>
      <c r="B83" s="65" t="s">
        <v>205</v>
      </c>
      <c r="C83" s="62">
        <f>DIV_A!I83</f>
        <v>50</v>
      </c>
      <c r="D83" s="62"/>
      <c r="E83" s="62">
        <f>DIV_A!Q83</f>
        <v>85</v>
      </c>
      <c r="F83" s="62"/>
      <c r="G83" s="62">
        <f>DIV_A!Y83</f>
        <v>88</v>
      </c>
      <c r="H83" s="62"/>
      <c r="I83" s="62">
        <f>DIV_A!AG83</f>
        <v>76</v>
      </c>
      <c r="J83" s="62"/>
      <c r="K83" s="62">
        <f>DIV_A!AO83</f>
        <v>95</v>
      </c>
      <c r="L83" s="62"/>
      <c r="M83" s="62">
        <f>DIV_A!BE83</f>
        <v>86</v>
      </c>
      <c r="N83" s="62"/>
      <c r="O83" s="62">
        <f>DIV_A!BR83</f>
        <v>480</v>
      </c>
      <c r="P83" s="62"/>
      <c r="Q83" s="63">
        <f>DIV_A!BS83</f>
        <v>80</v>
      </c>
      <c r="R83" s="74" t="str">
        <f>DIV_A!BT83</f>
        <v>GRADE I with Distinction</v>
      </c>
    </row>
    <row r="84" spans="1:18" ht="15.95" customHeight="1" x14ac:dyDescent="0.25">
      <c r="A84" s="61">
        <v>79</v>
      </c>
      <c r="B84" s="65" t="s">
        <v>206</v>
      </c>
      <c r="C84" s="62">
        <f>DIV_A!I84</f>
        <v>66</v>
      </c>
      <c r="D84" s="62"/>
      <c r="E84" s="62">
        <f>DIV_A!Q84</f>
        <v>75</v>
      </c>
      <c r="F84" s="62"/>
      <c r="G84" s="62">
        <f>DIV_A!Y84</f>
        <v>94</v>
      </c>
      <c r="H84" s="62"/>
      <c r="I84" s="62">
        <f>DIV_A!AG84</f>
        <v>88</v>
      </c>
      <c r="J84" s="62"/>
      <c r="K84" s="62">
        <f>DIV_A!AO84</f>
        <v>93</v>
      </c>
      <c r="L84" s="62"/>
      <c r="M84" s="62">
        <f>DIV_A!BE84</f>
        <v>89</v>
      </c>
      <c r="N84" s="62"/>
      <c r="O84" s="62">
        <f>DIV_A!BR84</f>
        <v>505</v>
      </c>
      <c r="P84" s="62"/>
      <c r="Q84" s="63">
        <f>DIV_A!BS84</f>
        <v>84.166666666666671</v>
      </c>
      <c r="R84" s="74" t="str">
        <f>DIV_A!BT84</f>
        <v>GRADE I with Distinction</v>
      </c>
    </row>
    <row r="85" spans="1:18" ht="15.95" customHeight="1" x14ac:dyDescent="0.25">
      <c r="A85" s="61">
        <v>80</v>
      </c>
      <c r="B85" s="65" t="s">
        <v>207</v>
      </c>
      <c r="C85" s="62">
        <f>DIV_A!I85</f>
        <v>40</v>
      </c>
      <c r="D85" s="62"/>
      <c r="E85" s="62">
        <f>DIV_A!Q85</f>
        <v>46</v>
      </c>
      <c r="F85" s="62"/>
      <c r="G85" s="62">
        <f>DIV_A!Y85</f>
        <v>35</v>
      </c>
      <c r="H85" s="62"/>
      <c r="I85" s="62">
        <f>DIV_A!AG85</f>
        <v>35</v>
      </c>
      <c r="J85" s="62"/>
      <c r="K85" s="62">
        <f>DIV_A!AO85</f>
        <v>30</v>
      </c>
      <c r="L85" s="62">
        <v>5</v>
      </c>
      <c r="M85" s="62">
        <f>DIV_A!BE85</f>
        <v>25</v>
      </c>
      <c r="N85" s="62">
        <v>10</v>
      </c>
      <c r="O85" s="62">
        <f>DIV_A!BR85</f>
        <v>211</v>
      </c>
      <c r="P85" s="62">
        <v>15</v>
      </c>
      <c r="Q85" s="63">
        <f>DIV_A!BS85</f>
        <v>35.166666666666664</v>
      </c>
      <c r="R85" s="74" t="str">
        <f>DIV_A!BT85</f>
        <v>PROMOTED</v>
      </c>
    </row>
    <row r="86" spans="1:18" ht="15.95" customHeight="1" x14ac:dyDescent="0.25">
      <c r="A86" s="61">
        <v>81</v>
      </c>
      <c r="B86" s="65" t="s">
        <v>208</v>
      </c>
      <c r="C86" s="62">
        <f>DIV_A!I86</f>
        <v>68</v>
      </c>
      <c r="D86" s="62"/>
      <c r="E86" s="62">
        <f>DIV_A!Q86</f>
        <v>58</v>
      </c>
      <c r="F86" s="62"/>
      <c r="G86" s="62">
        <f>DIV_A!Y86</f>
        <v>85</v>
      </c>
      <c r="H86" s="62"/>
      <c r="I86" s="62">
        <f>DIV_A!AG86</f>
        <v>60</v>
      </c>
      <c r="J86" s="62"/>
      <c r="K86" s="62">
        <f>DIV_A!AO86</f>
        <v>80</v>
      </c>
      <c r="L86" s="62"/>
      <c r="M86" s="62">
        <f>DIV_A!BE86</f>
        <v>68</v>
      </c>
      <c r="N86" s="62"/>
      <c r="O86" s="62">
        <f>DIV_A!BR86</f>
        <v>419</v>
      </c>
      <c r="P86" s="62"/>
      <c r="Q86" s="63">
        <f>DIV_A!BS86</f>
        <v>69.833333333333329</v>
      </c>
      <c r="R86" s="74" t="str">
        <f>DIV_A!BT86</f>
        <v>GRADE I</v>
      </c>
    </row>
    <row r="87" spans="1:18" ht="15.95" customHeight="1" x14ac:dyDescent="0.25">
      <c r="A87" s="61">
        <v>82</v>
      </c>
      <c r="B87" s="65" t="s">
        <v>209</v>
      </c>
      <c r="C87" s="62">
        <f>DIV_A!I87</f>
        <v>50</v>
      </c>
      <c r="D87" s="62"/>
      <c r="E87" s="62">
        <f>DIV_A!Q87</f>
        <v>58</v>
      </c>
      <c r="F87" s="62"/>
      <c r="G87" s="62">
        <f>DIV_A!Y87</f>
        <v>72</v>
      </c>
      <c r="H87" s="62"/>
      <c r="I87" s="62">
        <f>DIV_A!AG87</f>
        <v>74</v>
      </c>
      <c r="J87" s="62"/>
      <c r="K87" s="62">
        <f>DIV_A!AO87</f>
        <v>70</v>
      </c>
      <c r="L87" s="62"/>
      <c r="M87" s="62">
        <f>DIV_A!BE87</f>
        <v>75</v>
      </c>
      <c r="N87" s="62"/>
      <c r="O87" s="62">
        <f>DIV_A!BR87</f>
        <v>399</v>
      </c>
      <c r="P87" s="62"/>
      <c r="Q87" s="63">
        <f>DIV_A!BS87</f>
        <v>66.5</v>
      </c>
      <c r="R87" s="74" t="str">
        <f>DIV_A!BT87</f>
        <v>GRADE I</v>
      </c>
    </row>
    <row r="88" spans="1:18" ht="15.95" customHeight="1" x14ac:dyDescent="0.25">
      <c r="A88" s="61">
        <v>83</v>
      </c>
      <c r="B88" s="65" t="s">
        <v>210</v>
      </c>
      <c r="C88" s="62">
        <f>DIV_A!I88</f>
        <v>56</v>
      </c>
      <c r="D88" s="62"/>
      <c r="E88" s="62">
        <f>DIV_A!Q88</f>
        <v>65</v>
      </c>
      <c r="F88" s="62"/>
      <c r="G88" s="62">
        <f>DIV_A!Y88</f>
        <v>83</v>
      </c>
      <c r="H88" s="62"/>
      <c r="I88" s="62">
        <f>DIV_A!AG88</f>
        <v>70</v>
      </c>
      <c r="J88" s="62"/>
      <c r="K88" s="62">
        <f>DIV_A!AO88</f>
        <v>76</v>
      </c>
      <c r="L88" s="62"/>
      <c r="M88" s="62">
        <f>DIV_A!BE88</f>
        <v>54</v>
      </c>
      <c r="N88" s="62"/>
      <c r="O88" s="62">
        <f>DIV_A!BR88</f>
        <v>404</v>
      </c>
      <c r="P88" s="62"/>
      <c r="Q88" s="63">
        <f>DIV_A!BS88</f>
        <v>67.333333333333329</v>
      </c>
      <c r="R88" s="74" t="str">
        <f>DIV_A!BT88</f>
        <v>GRADE I</v>
      </c>
    </row>
    <row r="89" spans="1:18" ht="15.95" customHeight="1" x14ac:dyDescent="0.25">
      <c r="A89" s="61">
        <v>84</v>
      </c>
      <c r="B89" s="65" t="s">
        <v>211</v>
      </c>
      <c r="C89" s="62">
        <f>DIV_A!I89</f>
        <v>66</v>
      </c>
      <c r="D89" s="62"/>
      <c r="E89" s="62">
        <f>DIV_A!Q89</f>
        <v>85</v>
      </c>
      <c r="F89" s="62"/>
      <c r="G89" s="62">
        <f>DIV_A!Y89</f>
        <v>94</v>
      </c>
      <c r="H89" s="62"/>
      <c r="I89" s="62">
        <f>DIV_A!AG89</f>
        <v>90</v>
      </c>
      <c r="J89" s="62"/>
      <c r="K89" s="62">
        <f>DIV_A!AO89</f>
        <v>95</v>
      </c>
      <c r="L89" s="62"/>
      <c r="M89" s="62">
        <f>DIV_A!BE89</f>
        <v>84</v>
      </c>
      <c r="N89" s="62"/>
      <c r="O89" s="62">
        <f>DIV_A!BR89</f>
        <v>514</v>
      </c>
      <c r="P89" s="62"/>
      <c r="Q89" s="63">
        <f>DIV_A!BS89</f>
        <v>85.666666666666671</v>
      </c>
      <c r="R89" s="74" t="str">
        <f>DIV_A!BT89</f>
        <v>GRADE I with Distinction</v>
      </c>
    </row>
    <row r="90" spans="1:18" ht="15.95" customHeight="1" x14ac:dyDescent="0.25">
      <c r="A90" s="61">
        <v>85</v>
      </c>
      <c r="B90" s="65" t="s">
        <v>212</v>
      </c>
      <c r="C90" s="62">
        <f>DIV_A!I90</f>
        <v>55</v>
      </c>
      <c r="D90" s="62"/>
      <c r="E90" s="62">
        <f>DIV_A!Q90</f>
        <v>63</v>
      </c>
      <c r="F90" s="62"/>
      <c r="G90" s="62">
        <f>DIV_A!Y90</f>
        <v>78</v>
      </c>
      <c r="H90" s="62"/>
      <c r="I90" s="62">
        <f>DIV_A!AG90</f>
        <v>82</v>
      </c>
      <c r="J90" s="62"/>
      <c r="K90" s="62">
        <f>DIV_A!AO90</f>
        <v>65</v>
      </c>
      <c r="L90" s="62"/>
      <c r="M90" s="62">
        <f>DIV_A!BE90</f>
        <v>82</v>
      </c>
      <c r="N90" s="62"/>
      <c r="O90" s="62">
        <f>DIV_A!BR90</f>
        <v>425</v>
      </c>
      <c r="P90" s="62"/>
      <c r="Q90" s="63">
        <f>DIV_A!BS90</f>
        <v>70.833333333333329</v>
      </c>
      <c r="R90" s="74" t="str">
        <f>DIV_A!BT90</f>
        <v>GRADE I</v>
      </c>
    </row>
    <row r="91" spans="1:18" ht="15.95" customHeight="1" x14ac:dyDescent="0.25">
      <c r="A91" s="61">
        <v>86</v>
      </c>
      <c r="B91" s="65" t="s">
        <v>213</v>
      </c>
      <c r="C91" s="62">
        <f>DIV_A!I91</f>
        <v>47</v>
      </c>
      <c r="D91" s="62"/>
      <c r="E91" s="62">
        <f>DIV_A!Q91</f>
        <v>66</v>
      </c>
      <c r="F91" s="62"/>
      <c r="G91" s="62">
        <f>DIV_A!Y91</f>
        <v>72</v>
      </c>
      <c r="H91" s="62"/>
      <c r="I91" s="62">
        <f>DIV_A!AG91</f>
        <v>59</v>
      </c>
      <c r="J91" s="62"/>
      <c r="K91" s="62">
        <f>DIV_A!AO91</f>
        <v>59</v>
      </c>
      <c r="L91" s="62"/>
      <c r="M91" s="62">
        <f>DIV_A!BE91</f>
        <v>73</v>
      </c>
      <c r="N91" s="62"/>
      <c r="O91" s="62">
        <f>DIV_A!BR91</f>
        <v>376</v>
      </c>
      <c r="P91" s="62"/>
      <c r="Q91" s="63">
        <f>DIV_A!BS91</f>
        <v>62.666666666666664</v>
      </c>
      <c r="R91" s="74" t="str">
        <f>DIV_A!BT91</f>
        <v>GRADE I</v>
      </c>
    </row>
    <row r="92" spans="1:18" ht="15.95" customHeight="1" x14ac:dyDescent="0.25">
      <c r="A92" s="61">
        <v>87</v>
      </c>
      <c r="B92" s="65" t="s">
        <v>214</v>
      </c>
      <c r="C92" s="62">
        <f>DIV_A!I92</f>
        <v>62</v>
      </c>
      <c r="D92" s="62"/>
      <c r="E92" s="62">
        <f>DIV_A!Q92</f>
        <v>68</v>
      </c>
      <c r="F92" s="62"/>
      <c r="G92" s="62">
        <f>DIV_A!Y92</f>
        <v>80</v>
      </c>
      <c r="H92" s="62"/>
      <c r="I92" s="62">
        <f>DIV_A!AG92</f>
        <v>45</v>
      </c>
      <c r="J92" s="62"/>
      <c r="K92" s="62">
        <f>DIV_A!AO92</f>
        <v>69</v>
      </c>
      <c r="L92" s="62"/>
      <c r="M92" s="62">
        <f>DIV_A!BE92</f>
        <v>50</v>
      </c>
      <c r="N92" s="62"/>
      <c r="O92" s="62">
        <f>DIV_A!BR92</f>
        <v>374</v>
      </c>
      <c r="P92" s="62"/>
      <c r="Q92" s="63">
        <f>DIV_A!BS92</f>
        <v>62.333333333333336</v>
      </c>
      <c r="R92" s="74" t="str">
        <f>DIV_A!BT92</f>
        <v>GRADE I</v>
      </c>
    </row>
    <row r="93" spans="1:18" ht="15.95" customHeight="1" x14ac:dyDescent="0.25">
      <c r="A93" s="61">
        <v>88</v>
      </c>
      <c r="B93" s="65" t="s">
        <v>215</v>
      </c>
      <c r="C93" s="62">
        <f>DIV_A!I93</f>
        <v>59</v>
      </c>
      <c r="D93" s="62"/>
      <c r="E93" s="62">
        <f>DIV_A!Q93</f>
        <v>74</v>
      </c>
      <c r="F93" s="62"/>
      <c r="G93" s="62">
        <f>DIV_A!Y93</f>
        <v>86</v>
      </c>
      <c r="H93" s="62"/>
      <c r="I93" s="62">
        <f>DIV_A!AG93</f>
        <v>75</v>
      </c>
      <c r="J93" s="62"/>
      <c r="K93" s="62">
        <f>DIV_A!AO93</f>
        <v>82</v>
      </c>
      <c r="L93" s="62"/>
      <c r="M93" s="62">
        <f>DIV_A!BE93</f>
        <v>65</v>
      </c>
      <c r="N93" s="62"/>
      <c r="O93" s="62">
        <f>DIV_A!BR93</f>
        <v>441</v>
      </c>
      <c r="P93" s="62"/>
      <c r="Q93" s="63">
        <f>DIV_A!BS93</f>
        <v>73.5</v>
      </c>
      <c r="R93" s="74" t="str">
        <f>DIV_A!BT93</f>
        <v>GRADE I</v>
      </c>
    </row>
    <row r="94" spans="1:18" ht="15.95" customHeight="1" x14ac:dyDescent="0.25">
      <c r="A94" s="61">
        <v>89</v>
      </c>
      <c r="B94" s="65" t="s">
        <v>216</v>
      </c>
      <c r="C94" s="62">
        <f>DIV_A!I94</f>
        <v>33</v>
      </c>
      <c r="D94" s="62">
        <v>2</v>
      </c>
      <c r="E94" s="62">
        <f>DIV_A!Q94</f>
        <v>39</v>
      </c>
      <c r="F94" s="62"/>
      <c r="G94" s="62">
        <f>DIV_A!Y94</f>
        <v>55</v>
      </c>
      <c r="H94" s="62"/>
      <c r="I94" s="62">
        <f>DIV_A!AG94</f>
        <v>46</v>
      </c>
      <c r="J94" s="62"/>
      <c r="K94" s="62">
        <f>DIV_A!AO94</f>
        <v>42</v>
      </c>
      <c r="L94" s="62"/>
      <c r="M94" s="62">
        <f>DIV_A!BE94</f>
        <v>42</v>
      </c>
      <c r="N94" s="62"/>
      <c r="O94" s="62">
        <f>DIV_A!BR94</f>
        <v>257</v>
      </c>
      <c r="P94" s="62">
        <v>2</v>
      </c>
      <c r="Q94" s="63">
        <f>DIV_A!BS94</f>
        <v>42.833333333333336</v>
      </c>
      <c r="R94" s="74" t="str">
        <f>DIV_A!BT94</f>
        <v>PROMOTED</v>
      </c>
    </row>
    <row r="95" spans="1:18" ht="15.95" customHeight="1" x14ac:dyDescent="0.25">
      <c r="A95" s="61">
        <v>90</v>
      </c>
      <c r="B95" s="65" t="s">
        <v>217</v>
      </c>
      <c r="C95" s="62">
        <f>DIV_A!I95</f>
        <v>42</v>
      </c>
      <c r="D95" s="62"/>
      <c r="E95" s="62">
        <f>DIV_A!Q95</f>
        <v>50</v>
      </c>
      <c r="F95" s="62"/>
      <c r="G95" s="62">
        <f>DIV_A!Y95</f>
        <v>36</v>
      </c>
      <c r="H95" s="62"/>
      <c r="I95" s="62">
        <f>DIV_A!AG95</f>
        <v>29</v>
      </c>
      <c r="J95" s="62">
        <v>6</v>
      </c>
      <c r="K95" s="62">
        <f>DIV_A!AO95</f>
        <v>33</v>
      </c>
      <c r="L95" s="62">
        <v>2</v>
      </c>
      <c r="M95" s="62">
        <f>DIV_A!BE95</f>
        <v>28</v>
      </c>
      <c r="N95" s="62">
        <v>7</v>
      </c>
      <c r="O95" s="62">
        <f>DIV_A!BR95</f>
        <v>218</v>
      </c>
      <c r="P95" s="62">
        <v>15</v>
      </c>
      <c r="Q95" s="63">
        <f>DIV_A!BS95</f>
        <v>36.333333333333336</v>
      </c>
      <c r="R95" s="74" t="str">
        <f>DIV_A!BT95</f>
        <v>PROMOTED</v>
      </c>
    </row>
    <row r="96" spans="1:18" ht="15.95" customHeight="1" x14ac:dyDescent="0.25">
      <c r="A96" s="61">
        <v>91</v>
      </c>
      <c r="B96" s="65" t="s">
        <v>218</v>
      </c>
      <c r="C96" s="62">
        <f>DIV_A!I96</f>
        <v>47</v>
      </c>
      <c r="D96" s="62"/>
      <c r="E96" s="62">
        <f>DIV_A!Q96</f>
        <v>49</v>
      </c>
      <c r="F96" s="62"/>
      <c r="G96" s="62">
        <f>DIV_A!Y96</f>
        <v>46</v>
      </c>
      <c r="H96" s="62"/>
      <c r="I96" s="62">
        <f>DIV_A!AG96</f>
        <v>35</v>
      </c>
      <c r="J96" s="62"/>
      <c r="K96" s="62">
        <f>DIV_A!AO96</f>
        <v>30</v>
      </c>
      <c r="L96" s="62">
        <v>5</v>
      </c>
      <c r="M96" s="62">
        <f>DIV_A!BE96</f>
        <v>25</v>
      </c>
      <c r="N96" s="62">
        <v>10</v>
      </c>
      <c r="O96" s="62">
        <f>DIV_A!BR96</f>
        <v>232</v>
      </c>
      <c r="P96" s="62">
        <v>15</v>
      </c>
      <c r="Q96" s="63">
        <f>DIV_A!BS96</f>
        <v>38.666666666666664</v>
      </c>
      <c r="R96" s="74" t="str">
        <f>DIV_A!BT96</f>
        <v>PROMOTED</v>
      </c>
    </row>
    <row r="97" spans="1:18" ht="15.95" customHeight="1" x14ac:dyDescent="0.25">
      <c r="A97" s="61">
        <v>92</v>
      </c>
      <c r="B97" s="65" t="s">
        <v>219</v>
      </c>
      <c r="C97" s="62">
        <f>DIV_A!I97</f>
        <v>56</v>
      </c>
      <c r="D97" s="62"/>
      <c r="E97" s="62">
        <f>DIV_A!Q97</f>
        <v>59</v>
      </c>
      <c r="F97" s="62"/>
      <c r="G97" s="62">
        <f>DIV_A!Y97</f>
        <v>82</v>
      </c>
      <c r="H97" s="62"/>
      <c r="I97" s="62">
        <f>DIV_A!AG97</f>
        <v>71</v>
      </c>
      <c r="J97" s="62"/>
      <c r="K97" s="62">
        <f>DIV_A!AO97</f>
        <v>84</v>
      </c>
      <c r="L97" s="62"/>
      <c r="M97" s="62">
        <f>DIV_A!BE97</f>
        <v>61</v>
      </c>
      <c r="N97" s="62"/>
      <c r="O97" s="62">
        <f>DIV_A!BR97</f>
        <v>413</v>
      </c>
      <c r="P97" s="62"/>
      <c r="Q97" s="63">
        <f>DIV_A!BS97</f>
        <v>68.833333333333329</v>
      </c>
      <c r="R97" s="74" t="str">
        <f>DIV_A!BT97</f>
        <v>GRADE I</v>
      </c>
    </row>
    <row r="98" spans="1:18" ht="15.95" customHeight="1" x14ac:dyDescent="0.25">
      <c r="A98" s="61">
        <v>93</v>
      </c>
      <c r="B98" s="65" t="s">
        <v>220</v>
      </c>
      <c r="C98" s="62">
        <f>DIV_A!I98</f>
        <v>59</v>
      </c>
      <c r="D98" s="62"/>
      <c r="E98" s="62">
        <f>DIV_A!Q98</f>
        <v>64</v>
      </c>
      <c r="F98" s="62"/>
      <c r="G98" s="62">
        <f>DIV_A!Y98</f>
        <v>87</v>
      </c>
      <c r="H98" s="62"/>
      <c r="I98" s="62">
        <f>DIV_A!AG98</f>
        <v>70</v>
      </c>
      <c r="J98" s="62"/>
      <c r="K98" s="62">
        <f>DIV_A!AO98</f>
        <v>88</v>
      </c>
      <c r="L98" s="62"/>
      <c r="M98" s="62">
        <f>DIV_A!BE98</f>
        <v>56</v>
      </c>
      <c r="N98" s="62"/>
      <c r="O98" s="62">
        <f>DIV_A!BR98</f>
        <v>424</v>
      </c>
      <c r="P98" s="62"/>
      <c r="Q98" s="63">
        <f>DIV_A!BS98</f>
        <v>70.666666666666671</v>
      </c>
      <c r="R98" s="74" t="str">
        <f>DIV_A!BT98</f>
        <v>GRADE I</v>
      </c>
    </row>
    <row r="99" spans="1:18" ht="15.95" customHeight="1" x14ac:dyDescent="0.25">
      <c r="A99" s="61">
        <v>94</v>
      </c>
      <c r="B99" s="65" t="s">
        <v>221</v>
      </c>
      <c r="C99" s="62">
        <f>DIV_A!I99</f>
        <v>58</v>
      </c>
      <c r="D99" s="62"/>
      <c r="E99" s="62">
        <f>DIV_A!Q99</f>
        <v>63</v>
      </c>
      <c r="F99" s="62"/>
      <c r="G99" s="62">
        <f>DIV_A!Y99</f>
        <v>79</v>
      </c>
      <c r="H99" s="62"/>
      <c r="I99" s="62">
        <f>DIV_A!AG99</f>
        <v>71</v>
      </c>
      <c r="J99" s="62"/>
      <c r="K99" s="62">
        <f>DIV_A!AO99</f>
        <v>62</v>
      </c>
      <c r="L99" s="62"/>
      <c r="M99" s="62">
        <f>DIV_A!BE99</f>
        <v>67</v>
      </c>
      <c r="N99" s="62"/>
      <c r="O99" s="62">
        <f>DIV_A!BR99</f>
        <v>400</v>
      </c>
      <c r="P99" s="62"/>
      <c r="Q99" s="63">
        <f>DIV_A!BS99</f>
        <v>66.666666666666671</v>
      </c>
      <c r="R99" s="74" t="str">
        <f>DIV_A!BT99</f>
        <v>GRADE I</v>
      </c>
    </row>
    <row r="100" spans="1:18" ht="15.95" customHeight="1" x14ac:dyDescent="0.25">
      <c r="A100" s="61">
        <v>95</v>
      </c>
      <c r="B100" s="65" t="s">
        <v>222</v>
      </c>
      <c r="C100" s="62">
        <f>DIV_A!I100</f>
        <v>57</v>
      </c>
      <c r="D100" s="62"/>
      <c r="E100" s="62">
        <f>DIV_A!Q100</f>
        <v>57</v>
      </c>
      <c r="F100" s="62"/>
      <c r="G100" s="62">
        <f>DIV_A!Y100</f>
        <v>64</v>
      </c>
      <c r="H100" s="62"/>
      <c r="I100" s="62">
        <f>DIV_A!AG100</f>
        <v>42</v>
      </c>
      <c r="J100" s="62"/>
      <c r="K100" s="62">
        <f>DIV_A!AO100</f>
        <v>50</v>
      </c>
      <c r="L100" s="62"/>
      <c r="M100" s="62">
        <f>DIV_A!BE100</f>
        <v>27</v>
      </c>
      <c r="N100" s="62">
        <v>8</v>
      </c>
      <c r="O100" s="62">
        <f>DIV_A!BR100</f>
        <v>297</v>
      </c>
      <c r="P100" s="62">
        <v>8</v>
      </c>
      <c r="Q100" s="63">
        <f>DIV_A!BS100</f>
        <v>49.5</v>
      </c>
      <c r="R100" s="74" t="str">
        <f>DIV_A!BT100</f>
        <v>PROMOTED</v>
      </c>
    </row>
    <row r="101" spans="1:18" ht="15.95" customHeight="1" x14ac:dyDescent="0.25">
      <c r="A101" s="61">
        <v>96</v>
      </c>
      <c r="B101" s="65" t="s">
        <v>223</v>
      </c>
      <c r="C101" s="62">
        <f>DIV_A!I101</f>
        <v>53</v>
      </c>
      <c r="D101" s="62"/>
      <c r="E101" s="62">
        <f>DIV_A!Q101</f>
        <v>45</v>
      </c>
      <c r="F101" s="62"/>
      <c r="G101" s="62">
        <f>DIV_A!Y101</f>
        <v>79</v>
      </c>
      <c r="H101" s="62"/>
      <c r="I101" s="62">
        <f>DIV_A!AG101</f>
        <v>46</v>
      </c>
      <c r="J101" s="62"/>
      <c r="K101" s="62">
        <f>DIV_A!AO101</f>
        <v>74</v>
      </c>
      <c r="L101" s="62"/>
      <c r="M101" s="62">
        <f>DIV_A!BE101</f>
        <v>50</v>
      </c>
      <c r="N101" s="62"/>
      <c r="O101" s="62">
        <f>DIV_A!BR101</f>
        <v>347</v>
      </c>
      <c r="P101" s="62"/>
      <c r="Q101" s="63">
        <f>DIV_A!BS101</f>
        <v>57.833333333333336</v>
      </c>
      <c r="R101" s="74" t="str">
        <f>DIV_A!BT101</f>
        <v>GRADE II</v>
      </c>
    </row>
    <row r="102" spans="1:18" ht="15.95" customHeight="1" x14ac:dyDescent="0.25">
      <c r="A102" s="61">
        <v>97</v>
      </c>
      <c r="B102" s="65" t="s">
        <v>224</v>
      </c>
      <c r="C102" s="62">
        <f>DIV_A!I102</f>
        <v>62</v>
      </c>
      <c r="D102" s="62"/>
      <c r="E102" s="62">
        <f>DIV_A!Q102</f>
        <v>52</v>
      </c>
      <c r="F102" s="62"/>
      <c r="G102" s="62">
        <f>DIV_A!Y102</f>
        <v>75</v>
      </c>
      <c r="H102" s="62"/>
      <c r="I102" s="62">
        <f>DIV_A!AG102</f>
        <v>49</v>
      </c>
      <c r="J102" s="62"/>
      <c r="K102" s="62">
        <f>DIV_A!AO102</f>
        <v>56</v>
      </c>
      <c r="L102" s="62"/>
      <c r="M102" s="62">
        <f>DIV_A!BE102</f>
        <v>43</v>
      </c>
      <c r="N102" s="62"/>
      <c r="O102" s="62">
        <f>DIV_A!BR102</f>
        <v>337</v>
      </c>
      <c r="P102" s="62"/>
      <c r="Q102" s="63">
        <f>DIV_A!BS102</f>
        <v>56.166666666666664</v>
      </c>
      <c r="R102" s="74" t="str">
        <f>DIV_A!BT102</f>
        <v>GRADE II</v>
      </c>
    </row>
    <row r="103" spans="1:18" ht="15.95" customHeight="1" x14ac:dyDescent="0.25">
      <c r="A103" s="61">
        <v>98</v>
      </c>
      <c r="B103" s="65" t="s">
        <v>225</v>
      </c>
      <c r="C103" s="62">
        <f>DIV_A!I103</f>
        <v>64</v>
      </c>
      <c r="D103" s="62"/>
      <c r="E103" s="62">
        <f>DIV_A!Q103</f>
        <v>61</v>
      </c>
      <c r="F103" s="62"/>
      <c r="G103" s="62">
        <f>DIV_A!Y103</f>
        <v>82</v>
      </c>
      <c r="H103" s="62"/>
      <c r="I103" s="62">
        <f>DIV_A!AG103</f>
        <v>62</v>
      </c>
      <c r="J103" s="62"/>
      <c r="K103" s="62">
        <f>DIV_A!AO103</f>
        <v>76</v>
      </c>
      <c r="L103" s="62"/>
      <c r="M103" s="62">
        <f>DIV_A!BE103</f>
        <v>69</v>
      </c>
      <c r="N103" s="62"/>
      <c r="O103" s="62">
        <f>DIV_A!BR103</f>
        <v>414</v>
      </c>
      <c r="P103" s="62"/>
      <c r="Q103" s="63">
        <f>DIV_A!BS103</f>
        <v>69</v>
      </c>
      <c r="R103" s="74" t="str">
        <f>DIV_A!BT103</f>
        <v>GRADE I</v>
      </c>
    </row>
    <row r="104" spans="1:18" ht="15.95" customHeight="1" x14ac:dyDescent="0.25">
      <c r="A104" s="61">
        <v>99</v>
      </c>
      <c r="B104" s="65" t="s">
        <v>226</v>
      </c>
      <c r="C104" s="62">
        <f>DIV_A!I104</f>
        <v>58</v>
      </c>
      <c r="D104" s="62"/>
      <c r="E104" s="62">
        <f>DIV_A!Q104</f>
        <v>70</v>
      </c>
      <c r="F104" s="62"/>
      <c r="G104" s="62">
        <f>DIV_A!Y104</f>
        <v>87</v>
      </c>
      <c r="H104" s="62"/>
      <c r="I104" s="62">
        <f>DIV_A!AG104</f>
        <v>59</v>
      </c>
      <c r="J104" s="62"/>
      <c r="K104" s="62">
        <f>DIV_A!AO104</f>
        <v>74</v>
      </c>
      <c r="L104" s="62"/>
      <c r="M104" s="62">
        <f>DIV_A!BE104</f>
        <v>59</v>
      </c>
      <c r="N104" s="62"/>
      <c r="O104" s="62">
        <f>DIV_A!BR104</f>
        <v>407</v>
      </c>
      <c r="P104" s="62"/>
      <c r="Q104" s="63">
        <f>DIV_A!BS104</f>
        <v>67.833333333333329</v>
      </c>
      <c r="R104" s="74" t="str">
        <f>DIV_A!BT104</f>
        <v>GRADE I</v>
      </c>
    </row>
    <row r="105" spans="1:18" ht="15.95" customHeight="1" x14ac:dyDescent="0.25">
      <c r="A105" s="61">
        <v>100</v>
      </c>
      <c r="B105" s="65" t="s">
        <v>227</v>
      </c>
      <c r="C105" s="62">
        <f>DIV_A!I105</f>
        <v>35</v>
      </c>
      <c r="D105" s="62"/>
      <c r="E105" s="62">
        <f>DIV_A!Q105</f>
        <v>30</v>
      </c>
      <c r="F105" s="62">
        <v>5</v>
      </c>
      <c r="G105" s="62">
        <f>DIV_A!Y105</f>
        <v>58</v>
      </c>
      <c r="H105" s="62"/>
      <c r="I105" s="62">
        <f>DIV_A!AG105</f>
        <v>36</v>
      </c>
      <c r="J105" s="62"/>
      <c r="K105" s="62">
        <f>DIV_A!AO105</f>
        <v>49</v>
      </c>
      <c r="L105" s="62"/>
      <c r="M105" s="62">
        <v>42</v>
      </c>
      <c r="N105" s="62"/>
      <c r="O105" s="62">
        <v>250</v>
      </c>
      <c r="P105" s="62"/>
      <c r="Q105" s="63">
        <v>41.67</v>
      </c>
      <c r="R105" s="74" t="s">
        <v>375</v>
      </c>
    </row>
    <row r="106" spans="1:18" ht="15.95" customHeight="1" x14ac:dyDescent="0.25">
      <c r="A106" s="61">
        <v>101</v>
      </c>
      <c r="B106" s="65" t="s">
        <v>228</v>
      </c>
      <c r="C106" s="62">
        <f>DIV_A!I106</f>
        <v>57</v>
      </c>
      <c r="D106" s="62"/>
      <c r="E106" s="62">
        <f>DIV_A!Q106</f>
        <v>54</v>
      </c>
      <c r="F106" s="62"/>
      <c r="G106" s="62">
        <f>DIV_A!Y106</f>
        <v>76</v>
      </c>
      <c r="H106" s="62"/>
      <c r="I106" s="62">
        <f>DIV_A!AG106</f>
        <v>73</v>
      </c>
      <c r="J106" s="62"/>
      <c r="K106" s="62">
        <f>DIV_A!AO106</f>
        <v>74</v>
      </c>
      <c r="L106" s="62"/>
      <c r="M106" s="62">
        <f>DIV_A!BE106</f>
        <v>58</v>
      </c>
      <c r="N106" s="62"/>
      <c r="O106" s="62">
        <f>DIV_A!BR106</f>
        <v>392</v>
      </c>
      <c r="P106" s="62"/>
      <c r="Q106" s="63">
        <f>DIV_A!BS106</f>
        <v>65.333333333333329</v>
      </c>
      <c r="R106" s="74" t="str">
        <f>DIV_A!BT106</f>
        <v>GRADE I</v>
      </c>
    </row>
    <row r="107" spans="1:18" ht="15.95" customHeight="1" x14ac:dyDescent="0.25">
      <c r="A107" s="61">
        <v>102</v>
      </c>
      <c r="B107" s="65" t="s">
        <v>229</v>
      </c>
      <c r="C107" s="62">
        <f>DIV_A!I107</f>
        <v>54</v>
      </c>
      <c r="D107" s="62"/>
      <c r="E107" s="62">
        <f>DIV_A!Q107</f>
        <v>55</v>
      </c>
      <c r="F107" s="62"/>
      <c r="G107" s="62">
        <f>DIV_A!Y107</f>
        <v>69</v>
      </c>
      <c r="H107" s="62"/>
      <c r="I107" s="62">
        <f>DIV_A!AG107</f>
        <v>42</v>
      </c>
      <c r="J107" s="62"/>
      <c r="K107" s="62">
        <f>DIV_A!AO107</f>
        <v>48</v>
      </c>
      <c r="L107" s="62"/>
      <c r="M107" s="62">
        <f>DIV_A!BE107</f>
        <v>27</v>
      </c>
      <c r="N107" s="62">
        <v>8</v>
      </c>
      <c r="O107" s="62">
        <f>DIV_A!BR107</f>
        <v>295</v>
      </c>
      <c r="P107" s="62">
        <v>8</v>
      </c>
      <c r="Q107" s="63">
        <f>DIV_A!BS107</f>
        <v>49.166666666666664</v>
      </c>
      <c r="R107" s="74" t="str">
        <f>DIV_A!BT107</f>
        <v>PROMOTED</v>
      </c>
    </row>
    <row r="108" spans="1:18" ht="15.95" customHeight="1" x14ac:dyDescent="0.25">
      <c r="A108" s="61">
        <v>103</v>
      </c>
      <c r="B108" s="65" t="s">
        <v>230</v>
      </c>
      <c r="C108" s="62">
        <f>DIV_A!I108</f>
        <v>53</v>
      </c>
      <c r="D108" s="62"/>
      <c r="E108" s="62">
        <f>DIV_A!Q108</f>
        <v>62</v>
      </c>
      <c r="F108" s="62"/>
      <c r="G108" s="62">
        <f>DIV_A!Y108</f>
        <v>82</v>
      </c>
      <c r="H108" s="62"/>
      <c r="I108" s="62">
        <f>DIV_A!AG108</f>
        <v>66</v>
      </c>
      <c r="J108" s="62"/>
      <c r="K108" s="62">
        <f>DIV_A!AO108</f>
        <v>69</v>
      </c>
      <c r="L108" s="62"/>
      <c r="M108" s="62">
        <f>DIV_A!BE108</f>
        <v>65</v>
      </c>
      <c r="N108" s="62"/>
      <c r="O108" s="62">
        <f>DIV_A!BR108</f>
        <v>397</v>
      </c>
      <c r="P108" s="62"/>
      <c r="Q108" s="63">
        <f>DIV_A!BS108</f>
        <v>66.166666666666671</v>
      </c>
      <c r="R108" s="74" t="str">
        <f>DIV_A!BT108</f>
        <v>GRADE I</v>
      </c>
    </row>
    <row r="109" spans="1:18" ht="15.95" customHeight="1" x14ac:dyDescent="0.25">
      <c r="A109" s="61">
        <v>104</v>
      </c>
      <c r="B109" s="65" t="s">
        <v>231</v>
      </c>
      <c r="C109" s="62">
        <f>DIV_A!I109</f>
        <v>64</v>
      </c>
      <c r="D109" s="62"/>
      <c r="E109" s="62">
        <f>DIV_A!Q109</f>
        <v>65</v>
      </c>
      <c r="F109" s="62"/>
      <c r="G109" s="62">
        <f>DIV_A!Y109</f>
        <v>91</v>
      </c>
      <c r="H109" s="62"/>
      <c r="I109" s="62">
        <f>DIV_A!AG109</f>
        <v>78</v>
      </c>
      <c r="J109" s="62"/>
      <c r="K109" s="62">
        <f>DIV_A!AO109</f>
        <v>92</v>
      </c>
      <c r="L109" s="62"/>
      <c r="M109" s="62">
        <f>DIV_A!BE109</f>
        <v>79</v>
      </c>
      <c r="N109" s="62"/>
      <c r="O109" s="62">
        <f>DIV_A!BR109</f>
        <v>469</v>
      </c>
      <c r="P109" s="62"/>
      <c r="Q109" s="63">
        <f>DIV_A!BS109</f>
        <v>78.166666666666671</v>
      </c>
      <c r="R109" s="74" t="str">
        <f>DIV_A!BT109</f>
        <v>GRADE I with Distinction</v>
      </c>
    </row>
    <row r="110" spans="1:18" s="82" customFormat="1" ht="15.95" customHeight="1" x14ac:dyDescent="0.25">
      <c r="A110" s="115">
        <v>105</v>
      </c>
      <c r="B110" s="116" t="s">
        <v>232</v>
      </c>
      <c r="C110" s="117">
        <f>DIV_A!I110</f>
        <v>32</v>
      </c>
      <c r="D110" s="117"/>
      <c r="E110" s="117">
        <f>DIV_A!Q110</f>
        <v>38</v>
      </c>
      <c r="F110" s="117"/>
      <c r="G110" s="117">
        <f>DIV_A!Y110</f>
        <v>31</v>
      </c>
      <c r="H110" s="117"/>
      <c r="I110" s="117">
        <f>DIV_A!AG110</f>
        <v>19</v>
      </c>
      <c r="J110" s="117"/>
      <c r="K110" s="117">
        <f>DIV_A!AO110</f>
        <v>25</v>
      </c>
      <c r="L110" s="117"/>
      <c r="M110" s="117">
        <f>DIV_A!BE110</f>
        <v>25</v>
      </c>
      <c r="N110" s="117"/>
      <c r="O110" s="117">
        <f>DIV_A!BR110</f>
        <v>170</v>
      </c>
      <c r="P110" s="117"/>
      <c r="Q110" s="118">
        <f>DIV_A!BS110</f>
        <v>28.333333333333332</v>
      </c>
      <c r="R110" s="119" t="str">
        <f>DIV_A!BT110</f>
        <v>FAIL</v>
      </c>
    </row>
    <row r="111" spans="1:18" ht="15.95" customHeight="1" x14ac:dyDescent="0.25">
      <c r="A111" s="61">
        <v>106</v>
      </c>
      <c r="B111" s="66" t="s">
        <v>233</v>
      </c>
      <c r="C111" s="62">
        <f>DIV_A!I111</f>
        <v>50</v>
      </c>
      <c r="D111" s="62"/>
      <c r="E111" s="62">
        <f>DIV_A!Q111</f>
        <v>54</v>
      </c>
      <c r="F111" s="62"/>
      <c r="G111" s="62">
        <f>DIV_A!Y111</f>
        <v>63</v>
      </c>
      <c r="H111" s="62"/>
      <c r="I111" s="62">
        <f>DIV_A!AG111</f>
        <v>62</v>
      </c>
      <c r="J111" s="62"/>
      <c r="K111" s="62">
        <f>DIV_A!AO111</f>
        <v>61</v>
      </c>
      <c r="L111" s="62"/>
      <c r="M111" s="62">
        <f>DIV_A!BE111</f>
        <v>65</v>
      </c>
      <c r="N111" s="62"/>
      <c r="O111" s="62">
        <f>DIV_A!BR111</f>
        <v>355</v>
      </c>
      <c r="P111" s="62"/>
      <c r="Q111" s="63">
        <f>DIV_A!BS111</f>
        <v>59.166666666666664</v>
      </c>
      <c r="R111" s="74" t="str">
        <f>DIV_A!BT111</f>
        <v>GRADE II</v>
      </c>
    </row>
    <row r="112" spans="1:18" ht="13.5" customHeight="1" x14ac:dyDescent="0.25">
      <c r="A112" s="61">
        <v>107</v>
      </c>
      <c r="B112" s="65" t="s">
        <v>234</v>
      </c>
      <c r="C112" s="62">
        <f>DIV_A!I112</f>
        <v>41</v>
      </c>
      <c r="D112" s="62"/>
      <c r="E112" s="62">
        <f>DIV_A!Q112</f>
        <v>35</v>
      </c>
      <c r="F112" s="62"/>
      <c r="G112" s="62">
        <f>DIV_A!Y112</f>
        <v>61</v>
      </c>
      <c r="H112" s="62"/>
      <c r="I112" s="62">
        <f>DIV_A!AG112</f>
        <v>46</v>
      </c>
      <c r="J112" s="62"/>
      <c r="K112" s="62">
        <f>DIV_A!AO112</f>
        <v>61</v>
      </c>
      <c r="L112" s="62"/>
      <c r="M112" s="62">
        <f>DIV_A!BE112</f>
        <v>33</v>
      </c>
      <c r="N112" s="62">
        <v>2</v>
      </c>
      <c r="O112" s="62">
        <f>DIV_A!BR112</f>
        <v>277</v>
      </c>
      <c r="P112" s="62">
        <v>2</v>
      </c>
      <c r="Q112" s="63">
        <f>DIV_A!BS112</f>
        <v>46.166666666666664</v>
      </c>
      <c r="R112" s="74" t="str">
        <f>DIV_A!BT112</f>
        <v>PROMOTED</v>
      </c>
    </row>
    <row r="113" spans="1:18" ht="15.95" customHeight="1" x14ac:dyDescent="0.25">
      <c r="A113" s="61">
        <v>108</v>
      </c>
      <c r="B113" s="65" t="s">
        <v>235</v>
      </c>
      <c r="C113" s="62">
        <f>DIV_A!I113</f>
        <v>36</v>
      </c>
      <c r="D113" s="62"/>
      <c r="E113" s="62">
        <f>DIV_A!Q113</f>
        <v>37</v>
      </c>
      <c r="F113" s="62"/>
      <c r="G113" s="62">
        <f>DIV_A!Y113</f>
        <v>46</v>
      </c>
      <c r="H113" s="62"/>
      <c r="I113" s="62">
        <f>DIV_A!AG113</f>
        <v>30</v>
      </c>
      <c r="J113" s="62">
        <v>5</v>
      </c>
      <c r="K113" s="62">
        <f>DIV_A!AO113</f>
        <v>35</v>
      </c>
      <c r="L113" s="62"/>
      <c r="M113" s="62">
        <f>DIV_A!BE113</f>
        <v>25</v>
      </c>
      <c r="N113" s="62">
        <v>10</v>
      </c>
      <c r="O113" s="62">
        <f>DIV_A!BR113</f>
        <v>209</v>
      </c>
      <c r="P113" s="62"/>
      <c r="Q113" s="63">
        <f>DIV_A!BS113</f>
        <v>34.833333333333336</v>
      </c>
      <c r="R113" s="74" t="str">
        <f>DIV_A!BT113</f>
        <v>PROMOTED</v>
      </c>
    </row>
    <row r="114" spans="1:18" ht="15.95" customHeight="1" x14ac:dyDescent="0.25">
      <c r="A114" s="61">
        <v>109</v>
      </c>
      <c r="B114" s="65" t="s">
        <v>236</v>
      </c>
      <c r="C114" s="62">
        <f>DIV_A!I114</f>
        <v>33</v>
      </c>
      <c r="D114" s="62">
        <v>2</v>
      </c>
      <c r="E114" s="62">
        <f>DIV_A!Q114</f>
        <v>35</v>
      </c>
      <c r="F114" s="62"/>
      <c r="G114" s="62">
        <f>DIV_A!Y114</f>
        <v>42</v>
      </c>
      <c r="H114" s="62"/>
      <c r="I114" s="62">
        <f>DIV_A!AG114</f>
        <v>32</v>
      </c>
      <c r="J114" s="62">
        <v>3</v>
      </c>
      <c r="K114" s="62">
        <f>DIV_A!AO114</f>
        <v>38</v>
      </c>
      <c r="L114" s="62"/>
      <c r="M114" s="62">
        <f>DIV_A!BE114</f>
        <v>25</v>
      </c>
      <c r="N114" s="62">
        <v>10</v>
      </c>
      <c r="O114" s="62">
        <f>DIV_A!BR114</f>
        <v>205</v>
      </c>
      <c r="P114" s="62">
        <v>15</v>
      </c>
      <c r="Q114" s="63">
        <f>DIV_A!BS114</f>
        <v>34.166666666666664</v>
      </c>
      <c r="R114" s="74" t="str">
        <f>DIV_A!BT114</f>
        <v>PROMOTED</v>
      </c>
    </row>
    <row r="115" spans="1:18" ht="15.95" customHeight="1" x14ac:dyDescent="0.25">
      <c r="A115" s="61">
        <v>110</v>
      </c>
      <c r="B115" s="65" t="s">
        <v>237</v>
      </c>
      <c r="C115" s="62">
        <f>DIV_A!I115</f>
        <v>60</v>
      </c>
      <c r="D115" s="62"/>
      <c r="E115" s="62">
        <f>DIV_A!Q115</f>
        <v>66</v>
      </c>
      <c r="F115" s="62"/>
      <c r="G115" s="62">
        <f>DIV_A!Y115</f>
        <v>65</v>
      </c>
      <c r="H115" s="62"/>
      <c r="I115" s="62">
        <f>DIV_A!AG115</f>
        <v>50</v>
      </c>
      <c r="J115" s="62"/>
      <c r="K115" s="62">
        <f>DIV_A!AO115</f>
        <v>76</v>
      </c>
      <c r="L115" s="62"/>
      <c r="M115" s="62">
        <f>DIV_A!BE115</f>
        <v>62</v>
      </c>
      <c r="N115" s="62"/>
      <c r="O115" s="62">
        <f>DIV_A!BR115</f>
        <v>379</v>
      </c>
      <c r="P115" s="62"/>
      <c r="Q115" s="63">
        <f>DIV_A!BS115</f>
        <v>63.166666666666664</v>
      </c>
      <c r="R115" s="74" t="str">
        <f>DIV_A!BT115</f>
        <v>GRADE I</v>
      </c>
    </row>
    <row r="116" spans="1:18" ht="15.95" customHeight="1" x14ac:dyDescent="0.25">
      <c r="A116" s="61">
        <v>111</v>
      </c>
      <c r="B116" s="65" t="s">
        <v>238</v>
      </c>
      <c r="C116" s="62">
        <f>DIV_A!I116</f>
        <v>53</v>
      </c>
      <c r="D116" s="62"/>
      <c r="E116" s="62">
        <f>DIV_A!Q116</f>
        <v>54</v>
      </c>
      <c r="F116" s="62"/>
      <c r="G116" s="62">
        <f>DIV_A!Y116</f>
        <v>64</v>
      </c>
      <c r="H116" s="62"/>
      <c r="I116" s="62">
        <f>DIV_A!AG116</f>
        <v>50</v>
      </c>
      <c r="J116" s="62"/>
      <c r="K116" s="62">
        <f>DIV_A!AO116</f>
        <v>62</v>
      </c>
      <c r="L116" s="62"/>
      <c r="M116" s="62">
        <f>DIV_A!BE116</f>
        <v>36</v>
      </c>
      <c r="N116" s="62"/>
      <c r="O116" s="62">
        <f>DIV_A!BR116</f>
        <v>319</v>
      </c>
      <c r="P116" s="62"/>
      <c r="Q116" s="63">
        <f>DIV_A!BS116</f>
        <v>53.166666666666664</v>
      </c>
      <c r="R116" s="74" t="str">
        <f>DIV_A!BT116</f>
        <v>GRADE II</v>
      </c>
    </row>
    <row r="117" spans="1:18" ht="15.95" customHeight="1" x14ac:dyDescent="0.25">
      <c r="A117" s="61">
        <v>112</v>
      </c>
      <c r="B117" s="65" t="s">
        <v>239</v>
      </c>
      <c r="C117" s="62">
        <f>DIV_A!I117</f>
        <v>53</v>
      </c>
      <c r="D117" s="62"/>
      <c r="E117" s="62">
        <f>DIV_A!Q117</f>
        <v>49</v>
      </c>
      <c r="F117" s="62"/>
      <c r="G117" s="62">
        <f>DIV_A!Y117</f>
        <v>61</v>
      </c>
      <c r="H117" s="62"/>
      <c r="I117" s="62">
        <f>DIV_A!AG117</f>
        <v>42</v>
      </c>
      <c r="J117" s="62"/>
      <c r="K117" s="62">
        <f>DIV_A!AO117</f>
        <v>62</v>
      </c>
      <c r="L117" s="62"/>
      <c r="M117" s="62">
        <f>DIV_A!BE117</f>
        <v>30</v>
      </c>
      <c r="N117" s="62">
        <v>5</v>
      </c>
      <c r="O117" s="62">
        <f>DIV_A!BR117</f>
        <v>297</v>
      </c>
      <c r="P117" s="62">
        <v>5</v>
      </c>
      <c r="Q117" s="63">
        <f>DIV_A!BS117</f>
        <v>49.5</v>
      </c>
      <c r="R117" s="74" t="str">
        <f>DIV_A!BT117</f>
        <v>PROMOTED</v>
      </c>
    </row>
    <row r="118" spans="1:18" ht="15.95" customHeight="1" x14ac:dyDescent="0.25">
      <c r="A118" s="61">
        <v>113</v>
      </c>
      <c r="B118" s="65" t="s">
        <v>240</v>
      </c>
      <c r="C118" s="62">
        <f>DIV_A!I118</f>
        <v>43</v>
      </c>
      <c r="D118" s="62"/>
      <c r="E118" s="62">
        <f>DIV_A!Q118</f>
        <v>53</v>
      </c>
      <c r="F118" s="62"/>
      <c r="G118" s="62">
        <f>DIV_A!Y118</f>
        <v>77</v>
      </c>
      <c r="H118" s="62"/>
      <c r="I118" s="62">
        <f>DIV_A!AG118</f>
        <v>60</v>
      </c>
      <c r="J118" s="62"/>
      <c r="K118" s="62">
        <f>DIV_A!AO118</f>
        <v>63</v>
      </c>
      <c r="L118" s="62"/>
      <c r="M118" s="62">
        <f>DIV_A!BE118</f>
        <v>38</v>
      </c>
      <c r="N118" s="62"/>
      <c r="O118" s="62">
        <f>DIV_A!BR118</f>
        <v>334</v>
      </c>
      <c r="P118" s="62"/>
      <c r="Q118" s="63">
        <f>DIV_A!BS118</f>
        <v>55.666666666666664</v>
      </c>
      <c r="R118" s="74" t="str">
        <f>DIV_A!BT118</f>
        <v>GRADE II</v>
      </c>
    </row>
    <row r="119" spans="1:18" s="82" customFormat="1" ht="15.95" customHeight="1" x14ac:dyDescent="0.25">
      <c r="A119" s="115">
        <v>114</v>
      </c>
      <c r="B119" s="116" t="s">
        <v>241</v>
      </c>
      <c r="C119" s="117">
        <f>DIV_A!I119</f>
        <v>22</v>
      </c>
      <c r="D119" s="117"/>
      <c r="E119" s="117">
        <f>DIV_A!Q119</f>
        <v>31</v>
      </c>
      <c r="F119" s="117"/>
      <c r="G119" s="117">
        <f>DIV_A!Y119</f>
        <v>27</v>
      </c>
      <c r="H119" s="117"/>
      <c r="I119" s="117">
        <f>DIV_A!AG119</f>
        <v>20</v>
      </c>
      <c r="J119" s="117"/>
      <c r="K119" s="117">
        <f>DIV_A!AO119</f>
        <v>28</v>
      </c>
      <c r="L119" s="117"/>
      <c r="M119" s="117">
        <f>DIV_A!BE119</f>
        <v>12</v>
      </c>
      <c r="N119" s="117"/>
      <c r="O119" s="117">
        <f>DIV_A!BR119</f>
        <v>140</v>
      </c>
      <c r="P119" s="117"/>
      <c r="Q119" s="118">
        <f>DIV_A!BS119</f>
        <v>23.333333333333332</v>
      </c>
      <c r="R119" s="119" t="str">
        <f>DIV_A!BT119</f>
        <v>FAIL</v>
      </c>
    </row>
    <row r="120" spans="1:18" ht="15.95" customHeight="1" x14ac:dyDescent="0.25">
      <c r="A120" s="61">
        <v>115</v>
      </c>
      <c r="B120" s="65" t="s">
        <v>242</v>
      </c>
      <c r="C120" s="62">
        <f>DIV_A!I120</f>
        <v>58</v>
      </c>
      <c r="D120" s="62"/>
      <c r="E120" s="62">
        <f>DIV_A!Q120</f>
        <v>46</v>
      </c>
      <c r="F120" s="62"/>
      <c r="G120" s="62">
        <f>DIV_A!Y120</f>
        <v>83</v>
      </c>
      <c r="H120" s="62"/>
      <c r="I120" s="62">
        <f>DIV_A!AG120</f>
        <v>67</v>
      </c>
      <c r="J120" s="62"/>
      <c r="K120" s="62">
        <f>DIV_A!AO120</f>
        <v>85</v>
      </c>
      <c r="L120" s="62"/>
      <c r="M120" s="62">
        <f>DIV_A!BE120</f>
        <v>78</v>
      </c>
      <c r="N120" s="62"/>
      <c r="O120" s="62">
        <f>DIV_A!BR120</f>
        <v>417</v>
      </c>
      <c r="P120" s="62"/>
      <c r="Q120" s="63">
        <f>DIV_A!BS120</f>
        <v>69.5</v>
      </c>
      <c r="R120" s="74" t="str">
        <f>DIV_A!BT120</f>
        <v>GRADE I</v>
      </c>
    </row>
    <row r="121" spans="1:18" ht="15.95" customHeight="1" x14ac:dyDescent="0.25">
      <c r="A121" s="61">
        <v>116</v>
      </c>
      <c r="B121" s="65" t="s">
        <v>243</v>
      </c>
      <c r="C121" s="62">
        <f>DIV_A!I121</f>
        <v>54</v>
      </c>
      <c r="D121" s="62"/>
      <c r="E121" s="62">
        <f>DIV_A!Q121</f>
        <v>40</v>
      </c>
      <c r="F121" s="62"/>
      <c r="G121" s="62">
        <f>DIV_A!Y121</f>
        <v>51</v>
      </c>
      <c r="H121" s="62"/>
      <c r="I121" s="62">
        <f>DIV_A!AG121</f>
        <v>26</v>
      </c>
      <c r="J121" s="62">
        <v>9</v>
      </c>
      <c r="K121" s="62">
        <f>DIV_A!AO121</f>
        <v>43</v>
      </c>
      <c r="L121" s="62"/>
      <c r="M121" s="62">
        <f>DIV_A!BE121</f>
        <v>29</v>
      </c>
      <c r="N121" s="62">
        <v>6</v>
      </c>
      <c r="O121" s="62">
        <f>DIV_A!BR121</f>
        <v>243</v>
      </c>
      <c r="P121" s="62">
        <v>15</v>
      </c>
      <c r="Q121" s="63">
        <f>DIV_A!BS121</f>
        <v>40.5</v>
      </c>
      <c r="R121" s="74" t="str">
        <f>DIV_A!BT121</f>
        <v>PROMOTED</v>
      </c>
    </row>
    <row r="122" spans="1:18" ht="15.95" customHeight="1" x14ac:dyDescent="0.25">
      <c r="A122" s="61">
        <v>117</v>
      </c>
      <c r="B122" s="65" t="s">
        <v>244</v>
      </c>
      <c r="C122" s="62">
        <f>DIV_A!I122</f>
        <v>61</v>
      </c>
      <c r="D122" s="62"/>
      <c r="E122" s="62">
        <f>DIV_A!Q122</f>
        <v>77</v>
      </c>
      <c r="F122" s="62"/>
      <c r="G122" s="62">
        <f>DIV_A!Y122</f>
        <v>82</v>
      </c>
      <c r="H122" s="62"/>
      <c r="I122" s="62">
        <f>DIV_A!AG122</f>
        <v>64</v>
      </c>
      <c r="J122" s="62"/>
      <c r="K122" s="62">
        <f>DIV_A!AO122</f>
        <v>87</v>
      </c>
      <c r="L122" s="62"/>
      <c r="M122" s="62">
        <f>DIV_A!BE122</f>
        <v>65</v>
      </c>
      <c r="N122" s="62"/>
      <c r="O122" s="62">
        <f>DIV_A!BR122</f>
        <v>436</v>
      </c>
      <c r="P122" s="62"/>
      <c r="Q122" s="63">
        <f>DIV_A!BS122</f>
        <v>72.666666666666671</v>
      </c>
      <c r="R122" s="74" t="str">
        <f>DIV_A!BT122</f>
        <v>GRADE I</v>
      </c>
    </row>
    <row r="123" spans="1:18" ht="15.95" customHeight="1" x14ac:dyDescent="0.25">
      <c r="A123" s="61">
        <v>118</v>
      </c>
      <c r="B123" s="65" t="s">
        <v>245</v>
      </c>
      <c r="C123" s="62">
        <f>DIV_A!I123</f>
        <v>72</v>
      </c>
      <c r="D123" s="62"/>
      <c r="E123" s="62">
        <f>DIV_A!Q123</f>
        <v>73</v>
      </c>
      <c r="F123" s="62"/>
      <c r="G123" s="62">
        <f>DIV_A!Y123</f>
        <v>88</v>
      </c>
      <c r="H123" s="62"/>
      <c r="I123" s="62">
        <f>DIV_A!AG123</f>
        <v>95</v>
      </c>
      <c r="J123" s="62"/>
      <c r="K123" s="62">
        <f>DIV_A!AO123</f>
        <v>96</v>
      </c>
      <c r="L123" s="62"/>
      <c r="M123" s="62">
        <f>DIV_A!BE123</f>
        <v>90</v>
      </c>
      <c r="N123" s="62"/>
      <c r="O123" s="62">
        <f>DIV_A!BR123</f>
        <v>514</v>
      </c>
      <c r="P123" s="62"/>
      <c r="Q123" s="63">
        <f>DIV_A!BS123</f>
        <v>85.666666666666671</v>
      </c>
      <c r="R123" s="74" t="str">
        <f>DIV_A!BT123</f>
        <v>GRADE I with Distinction</v>
      </c>
    </row>
    <row r="124" spans="1:18" s="82" customFormat="1" ht="15.95" customHeight="1" x14ac:dyDescent="0.25">
      <c r="A124" s="115">
        <v>119</v>
      </c>
      <c r="B124" s="116" t="s">
        <v>246</v>
      </c>
      <c r="C124" s="117">
        <f>DIV_A!I124</f>
        <v>37</v>
      </c>
      <c r="D124" s="117"/>
      <c r="E124" s="117">
        <f>DIV_A!Q124</f>
        <v>23</v>
      </c>
      <c r="F124" s="117"/>
      <c r="G124" s="117">
        <f>DIV_A!Y124</f>
        <v>39</v>
      </c>
      <c r="H124" s="117"/>
      <c r="I124" s="117">
        <f>DIV_A!AG124</f>
        <v>20</v>
      </c>
      <c r="J124" s="117"/>
      <c r="K124" s="117">
        <f>DIV_A!AO124</f>
        <v>34</v>
      </c>
      <c r="L124" s="117"/>
      <c r="M124" s="117">
        <f>DIV_A!BE124</f>
        <v>14</v>
      </c>
      <c r="N124" s="117"/>
      <c r="O124" s="117">
        <f>DIV_A!BR124</f>
        <v>167</v>
      </c>
      <c r="P124" s="117"/>
      <c r="Q124" s="118">
        <f>DIV_A!BS124</f>
        <v>27.833333333333332</v>
      </c>
      <c r="R124" s="119" t="str">
        <f>DIV_A!BT124</f>
        <v>FAIL</v>
      </c>
    </row>
    <row r="125" spans="1:18" ht="15.95" customHeight="1" x14ac:dyDescent="0.25">
      <c r="A125" s="61">
        <v>120</v>
      </c>
      <c r="B125" s="65" t="s">
        <v>247</v>
      </c>
      <c r="C125" s="62">
        <f>DIV_A!I125</f>
        <v>59</v>
      </c>
      <c r="D125" s="62"/>
      <c r="E125" s="62">
        <f>DIV_A!Q125</f>
        <v>50</v>
      </c>
      <c r="F125" s="62"/>
      <c r="G125" s="62">
        <f>DIV_A!Y125</f>
        <v>68</v>
      </c>
      <c r="H125" s="62"/>
      <c r="I125" s="62">
        <f>DIV_A!AG125</f>
        <v>58</v>
      </c>
      <c r="J125" s="62"/>
      <c r="K125" s="62">
        <f>DIV_A!AO125</f>
        <v>70</v>
      </c>
      <c r="L125" s="62"/>
      <c r="M125" s="62">
        <f>DIV_A!BE125</f>
        <v>53</v>
      </c>
      <c r="N125" s="62"/>
      <c r="O125" s="62" t="str">
        <f>DIV_A!BR125</f>
        <v>358 #2</v>
      </c>
      <c r="P125" s="62"/>
      <c r="Q125" s="63">
        <f>DIV_A!BS125</f>
        <v>60</v>
      </c>
      <c r="R125" s="74" t="str">
        <f>DIV_A!BT125</f>
        <v>GRADE I</v>
      </c>
    </row>
  </sheetData>
  <mergeCells count="3">
    <mergeCell ref="A1:R1"/>
    <mergeCell ref="A2:R2"/>
    <mergeCell ref="A3:R3"/>
  </mergeCells>
  <conditionalFormatting sqref="Q1:Q1048576">
    <cfRule type="cellIs" dxfId="15" priority="1" operator="greaterThan">
      <formula>74.99</formula>
    </cfRule>
    <cfRule type="cellIs" dxfId="14" priority="2" operator="greaterThan">
      <formula>59.99</formula>
    </cfRule>
  </conditionalFormatting>
  <conditionalFormatting sqref="Q6:R11 C6:C125 E6:E125 G6:G125 I6:I125 K6:K125 M6:M125 O6:O125 Q12 Q13:R125">
    <cfRule type="cellIs" dxfId="13" priority="3" operator="lessThan">
      <formula>35</formula>
    </cfRule>
  </conditionalFormatting>
  <printOptions horizontalCentered="1" verticalCentered="1"/>
  <pageMargins left="0.45" right="0.45" top="0.5" bottom="0.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57BB-39AC-4265-B56D-A0AD9499DBBC}">
  <dimension ref="A1:Q21"/>
  <sheetViews>
    <sheetView workbookViewId="0">
      <selection activeCell="N11" sqref="N11"/>
    </sheetView>
  </sheetViews>
  <sheetFormatPr defaultRowHeight="15" x14ac:dyDescent="0.25"/>
  <cols>
    <col min="2" max="2" width="6.5703125" style="72" customWidth="1"/>
    <col min="3" max="3" width="30.7109375" customWidth="1"/>
    <col min="4" max="16" width="5.7109375" customWidth="1"/>
    <col min="17" max="17" width="7.140625" customWidth="1"/>
  </cols>
  <sheetData>
    <row r="1" spans="1:17" ht="26.25" x14ac:dyDescent="0.4">
      <c r="A1" s="183" t="s">
        <v>251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</row>
    <row r="2" spans="1:17" ht="26.25" x14ac:dyDescent="0.4">
      <c r="A2" s="94"/>
      <c r="B2" s="94"/>
      <c r="C2" s="183" t="s">
        <v>380</v>
      </c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94"/>
      <c r="Q2" s="94"/>
    </row>
    <row r="3" spans="1:17" ht="21" x14ac:dyDescent="0.35">
      <c r="B3" s="89" t="s">
        <v>376</v>
      </c>
    </row>
    <row r="5" spans="1:17" ht="34.5" x14ac:dyDescent="0.3">
      <c r="A5" s="85" t="s">
        <v>379</v>
      </c>
      <c r="B5" s="86" t="s">
        <v>0</v>
      </c>
      <c r="C5" s="64" t="s">
        <v>250</v>
      </c>
      <c r="D5" s="69" t="s">
        <v>351</v>
      </c>
      <c r="E5" s="69" t="s">
        <v>361</v>
      </c>
      <c r="F5" s="69" t="s">
        <v>358</v>
      </c>
      <c r="G5" s="69" t="s">
        <v>362</v>
      </c>
      <c r="H5" s="69" t="s">
        <v>352</v>
      </c>
      <c r="I5" s="69" t="s">
        <v>363</v>
      </c>
      <c r="J5" s="69" t="s">
        <v>353</v>
      </c>
      <c r="K5" s="69" t="s">
        <v>364</v>
      </c>
      <c r="L5" s="69" t="s">
        <v>354</v>
      </c>
      <c r="M5" s="69" t="s">
        <v>365</v>
      </c>
      <c r="N5" s="69" t="s">
        <v>355</v>
      </c>
      <c r="O5" s="69" t="s">
        <v>366</v>
      </c>
      <c r="P5" s="69" t="s">
        <v>337</v>
      </c>
      <c r="Q5" s="69" t="s">
        <v>356</v>
      </c>
    </row>
    <row r="6" spans="1:17" x14ac:dyDescent="0.25">
      <c r="A6" s="85">
        <v>1</v>
      </c>
      <c r="B6" s="87">
        <v>51</v>
      </c>
      <c r="C6" s="85" t="s">
        <v>178</v>
      </c>
      <c r="D6" s="35">
        <v>15</v>
      </c>
      <c r="E6" s="35"/>
      <c r="F6" s="35">
        <v>27</v>
      </c>
      <c r="G6" s="35"/>
      <c r="H6" s="35">
        <v>16</v>
      </c>
      <c r="I6" s="35"/>
      <c r="J6" s="35">
        <v>11</v>
      </c>
      <c r="K6" s="35"/>
      <c r="L6" s="35">
        <v>15</v>
      </c>
      <c r="M6" s="35"/>
      <c r="N6" s="35">
        <v>12</v>
      </c>
      <c r="O6" s="35"/>
      <c r="P6" s="35">
        <v>96</v>
      </c>
      <c r="Q6" s="91">
        <v>16</v>
      </c>
    </row>
    <row r="7" spans="1:17" x14ac:dyDescent="0.25">
      <c r="A7" s="85">
        <v>2</v>
      </c>
      <c r="B7" s="87">
        <v>62</v>
      </c>
      <c r="C7" s="85" t="s">
        <v>189</v>
      </c>
      <c r="D7" s="35">
        <v>45</v>
      </c>
      <c r="E7" s="35"/>
      <c r="F7" s="35">
        <v>36</v>
      </c>
      <c r="G7" s="35"/>
      <c r="H7" s="35">
        <v>58</v>
      </c>
      <c r="I7" s="35"/>
      <c r="J7" s="35">
        <v>35</v>
      </c>
      <c r="K7" s="35"/>
      <c r="L7" s="35">
        <v>44</v>
      </c>
      <c r="M7" s="35"/>
      <c r="N7" s="92">
        <v>18</v>
      </c>
      <c r="O7" s="35"/>
      <c r="P7" s="35">
        <v>236</v>
      </c>
      <c r="Q7" s="91">
        <v>39.333333333333336</v>
      </c>
    </row>
    <row r="8" spans="1:17" x14ac:dyDescent="0.25">
      <c r="A8" s="85">
        <v>3</v>
      </c>
      <c r="B8" s="87">
        <v>73</v>
      </c>
      <c r="C8" s="85" t="s">
        <v>200</v>
      </c>
      <c r="D8" s="35">
        <v>32</v>
      </c>
      <c r="E8" s="35"/>
      <c r="F8" s="35">
        <v>27</v>
      </c>
      <c r="G8" s="35"/>
      <c r="H8" s="35">
        <v>34</v>
      </c>
      <c r="I8" s="35"/>
      <c r="J8" s="35">
        <v>19</v>
      </c>
      <c r="K8" s="35"/>
      <c r="L8" s="35">
        <v>23</v>
      </c>
      <c r="M8" s="35"/>
      <c r="N8" s="35">
        <v>15</v>
      </c>
      <c r="O8" s="35"/>
      <c r="P8" s="35">
        <v>150</v>
      </c>
      <c r="Q8" s="91">
        <v>25</v>
      </c>
    </row>
    <row r="9" spans="1:17" x14ac:dyDescent="0.25">
      <c r="A9" s="85">
        <v>4</v>
      </c>
      <c r="B9" s="87">
        <v>105</v>
      </c>
      <c r="C9" s="85" t="s">
        <v>232</v>
      </c>
      <c r="D9" s="35">
        <v>32</v>
      </c>
      <c r="E9" s="35"/>
      <c r="F9" s="35">
        <v>38</v>
      </c>
      <c r="G9" s="35"/>
      <c r="H9" s="35">
        <v>31</v>
      </c>
      <c r="I9" s="35"/>
      <c r="J9" s="35">
        <v>19</v>
      </c>
      <c r="K9" s="35"/>
      <c r="L9" s="35">
        <v>25</v>
      </c>
      <c r="M9" s="35"/>
      <c r="N9" s="35">
        <v>25</v>
      </c>
      <c r="O9" s="35"/>
      <c r="P9" s="35">
        <v>170</v>
      </c>
      <c r="Q9" s="91">
        <v>28.333333333333332</v>
      </c>
    </row>
    <row r="10" spans="1:17" x14ac:dyDescent="0.25">
      <c r="A10" s="85">
        <v>5</v>
      </c>
      <c r="B10" s="87">
        <v>114</v>
      </c>
      <c r="C10" s="85" t="s">
        <v>241</v>
      </c>
      <c r="D10" s="35">
        <v>22</v>
      </c>
      <c r="E10" s="35"/>
      <c r="F10" s="35">
        <v>31</v>
      </c>
      <c r="G10" s="35"/>
      <c r="H10" s="35">
        <v>27</v>
      </c>
      <c r="I10" s="35"/>
      <c r="J10" s="35">
        <v>20</v>
      </c>
      <c r="K10" s="35"/>
      <c r="L10" s="35">
        <v>28</v>
      </c>
      <c r="M10" s="35"/>
      <c r="N10" s="35">
        <v>12</v>
      </c>
      <c r="O10" s="35"/>
      <c r="P10" s="35">
        <v>140</v>
      </c>
      <c r="Q10" s="91">
        <v>23.333333333333332</v>
      </c>
    </row>
    <row r="11" spans="1:17" x14ac:dyDescent="0.25">
      <c r="A11" s="85">
        <v>6</v>
      </c>
      <c r="B11" s="87">
        <v>119</v>
      </c>
      <c r="C11" s="85" t="s">
        <v>246</v>
      </c>
      <c r="D11" s="35">
        <v>37</v>
      </c>
      <c r="E11" s="35"/>
      <c r="F11" s="35">
        <v>23</v>
      </c>
      <c r="G11" s="35"/>
      <c r="H11" s="35">
        <v>39</v>
      </c>
      <c r="I11" s="35"/>
      <c r="J11" s="35">
        <v>20</v>
      </c>
      <c r="K11" s="35"/>
      <c r="L11" s="35">
        <v>34</v>
      </c>
      <c r="M11" s="35"/>
      <c r="N11" s="35">
        <v>14</v>
      </c>
      <c r="O11" s="35"/>
      <c r="P11" s="35">
        <v>167</v>
      </c>
      <c r="Q11" s="91">
        <v>27.833333333333332</v>
      </c>
    </row>
    <row r="12" spans="1:17" x14ac:dyDescent="0.25"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</row>
    <row r="13" spans="1:17" ht="23.25" x14ac:dyDescent="0.35">
      <c r="B13" s="90" t="s">
        <v>377</v>
      </c>
    </row>
    <row r="14" spans="1:17" ht="60" x14ac:dyDescent="0.3">
      <c r="A14" s="85" t="s">
        <v>379</v>
      </c>
      <c r="B14" s="86" t="s">
        <v>0</v>
      </c>
      <c r="C14" s="64" t="s">
        <v>250</v>
      </c>
      <c r="D14" s="69" t="s">
        <v>351</v>
      </c>
      <c r="E14" s="69" t="s">
        <v>361</v>
      </c>
      <c r="F14" s="69" t="s">
        <v>358</v>
      </c>
      <c r="G14" s="69" t="s">
        <v>362</v>
      </c>
      <c r="H14" s="69" t="s">
        <v>352</v>
      </c>
      <c r="I14" s="69" t="s">
        <v>363</v>
      </c>
      <c r="J14" s="69" t="s">
        <v>353</v>
      </c>
      <c r="K14" s="69" t="s">
        <v>364</v>
      </c>
      <c r="L14" s="69" t="s">
        <v>354</v>
      </c>
      <c r="M14" s="69" t="s">
        <v>365</v>
      </c>
      <c r="N14" s="69" t="s">
        <v>355</v>
      </c>
      <c r="O14" s="69" t="s">
        <v>366</v>
      </c>
      <c r="P14" s="69" t="s">
        <v>337</v>
      </c>
      <c r="Q14" s="69" t="s">
        <v>356</v>
      </c>
    </row>
    <row r="15" spans="1:17" x14ac:dyDescent="0.25">
      <c r="A15" s="85">
        <v>1</v>
      </c>
      <c r="B15" s="1">
        <v>8</v>
      </c>
      <c r="C15" s="12" t="s">
        <v>16</v>
      </c>
      <c r="D15" s="62">
        <v>33</v>
      </c>
      <c r="E15" s="62"/>
      <c r="F15" s="62">
        <v>33</v>
      </c>
      <c r="G15" s="62"/>
      <c r="H15" s="62">
        <v>32</v>
      </c>
      <c r="I15" s="62"/>
      <c r="J15" s="62">
        <v>26</v>
      </c>
      <c r="K15" s="62"/>
      <c r="L15" s="62">
        <v>30</v>
      </c>
      <c r="M15" s="62"/>
      <c r="N15" s="62">
        <v>22</v>
      </c>
      <c r="O15" s="62"/>
      <c r="P15" s="62">
        <v>176</v>
      </c>
      <c r="Q15" s="63">
        <v>29.333333333333332</v>
      </c>
    </row>
    <row r="16" spans="1:17" x14ac:dyDescent="0.25">
      <c r="A16" s="85">
        <v>2</v>
      </c>
      <c r="B16" s="1">
        <v>12</v>
      </c>
      <c r="C16" s="12" t="s">
        <v>20</v>
      </c>
      <c r="D16" s="62">
        <v>36</v>
      </c>
      <c r="E16" s="62"/>
      <c r="F16" s="62">
        <v>31</v>
      </c>
      <c r="G16" s="62"/>
      <c r="H16" s="62">
        <v>36</v>
      </c>
      <c r="I16" s="62"/>
      <c r="J16" s="62">
        <v>16</v>
      </c>
      <c r="K16" s="62"/>
      <c r="L16" s="62">
        <v>27</v>
      </c>
      <c r="M16" s="62"/>
      <c r="N16" s="62">
        <v>18</v>
      </c>
      <c r="O16" s="62"/>
      <c r="P16" s="62">
        <v>164</v>
      </c>
      <c r="Q16" s="63">
        <v>27.333333333333332</v>
      </c>
    </row>
    <row r="17" spans="1:17" x14ac:dyDescent="0.25">
      <c r="A17" s="85">
        <v>3</v>
      </c>
      <c r="B17" s="1" t="s">
        <v>378</v>
      </c>
      <c r="C17" s="12" t="s">
        <v>30</v>
      </c>
      <c r="D17" s="62">
        <v>16</v>
      </c>
      <c r="E17" s="62"/>
      <c r="F17" s="62">
        <v>25</v>
      </c>
      <c r="G17" s="62"/>
      <c r="H17" s="62">
        <v>24</v>
      </c>
      <c r="I17" s="62"/>
      <c r="J17" s="62">
        <v>21</v>
      </c>
      <c r="K17" s="62"/>
      <c r="L17" s="62">
        <v>23</v>
      </c>
      <c r="M17" s="62"/>
      <c r="N17" s="62">
        <v>15</v>
      </c>
      <c r="O17" s="62"/>
      <c r="P17" s="62">
        <v>124</v>
      </c>
      <c r="Q17" s="63">
        <v>20.666666666666668</v>
      </c>
    </row>
    <row r="18" spans="1:17" x14ac:dyDescent="0.25">
      <c r="A18" s="85">
        <v>4</v>
      </c>
      <c r="B18" s="1">
        <v>26</v>
      </c>
      <c r="C18" s="12" t="s">
        <v>34</v>
      </c>
      <c r="D18" s="62">
        <v>43</v>
      </c>
      <c r="E18" s="62"/>
      <c r="F18" s="62">
        <v>54</v>
      </c>
      <c r="G18" s="62"/>
      <c r="H18" s="62">
        <v>39</v>
      </c>
      <c r="I18" s="62"/>
      <c r="J18" s="62">
        <v>34</v>
      </c>
      <c r="K18" s="62"/>
      <c r="L18" s="62">
        <v>31</v>
      </c>
      <c r="M18" s="62"/>
      <c r="N18" s="62">
        <v>15</v>
      </c>
      <c r="O18" s="62"/>
      <c r="P18" s="62">
        <v>216</v>
      </c>
      <c r="Q18" s="63">
        <v>36</v>
      </c>
    </row>
    <row r="19" spans="1:17" x14ac:dyDescent="0.25">
      <c r="A19" s="85">
        <v>5</v>
      </c>
      <c r="B19" s="1">
        <v>97</v>
      </c>
      <c r="C19" s="12" t="s">
        <v>105</v>
      </c>
      <c r="D19" s="62">
        <v>49</v>
      </c>
      <c r="E19" s="62"/>
      <c r="F19" s="62">
        <v>44</v>
      </c>
      <c r="G19" s="62"/>
      <c r="H19" s="62">
        <v>58</v>
      </c>
      <c r="I19" s="62"/>
      <c r="J19" s="62">
        <v>34</v>
      </c>
      <c r="K19" s="62"/>
      <c r="L19" s="62">
        <v>43</v>
      </c>
      <c r="M19" s="62"/>
      <c r="N19" s="62">
        <v>18</v>
      </c>
      <c r="O19" s="62"/>
      <c r="P19" s="62">
        <v>246</v>
      </c>
      <c r="Q19" s="63">
        <v>41</v>
      </c>
    </row>
    <row r="20" spans="1:17" x14ac:dyDescent="0.25">
      <c r="A20" s="85">
        <v>6</v>
      </c>
      <c r="B20" s="1">
        <v>113</v>
      </c>
      <c r="C20" s="8" t="s">
        <v>121</v>
      </c>
      <c r="D20" s="62">
        <v>34</v>
      </c>
      <c r="E20" s="62"/>
      <c r="F20" s="62">
        <v>29</v>
      </c>
      <c r="G20" s="62"/>
      <c r="H20" s="62">
        <v>27</v>
      </c>
      <c r="I20" s="62"/>
      <c r="J20" s="62">
        <v>16</v>
      </c>
      <c r="K20" s="62"/>
      <c r="L20" s="62">
        <v>28</v>
      </c>
      <c r="M20" s="62"/>
      <c r="N20" s="62">
        <v>19</v>
      </c>
      <c r="O20" s="62"/>
      <c r="P20" s="62">
        <v>153</v>
      </c>
      <c r="Q20" s="63">
        <v>25.5</v>
      </c>
    </row>
    <row r="21" spans="1:17" x14ac:dyDescent="0.25">
      <c r="A21" s="85">
        <v>7</v>
      </c>
      <c r="B21" s="88">
        <v>120</v>
      </c>
      <c r="C21" s="85" t="s">
        <v>253</v>
      </c>
      <c r="D21" s="35">
        <v>38</v>
      </c>
      <c r="E21" s="35"/>
      <c r="F21" s="35">
        <v>42</v>
      </c>
      <c r="G21" s="35"/>
      <c r="H21" s="35">
        <v>53</v>
      </c>
      <c r="I21" s="35"/>
      <c r="J21" s="35">
        <v>22</v>
      </c>
      <c r="K21" s="35"/>
      <c r="L21" s="35">
        <v>55</v>
      </c>
      <c r="M21" s="35"/>
      <c r="N21" s="35">
        <v>17</v>
      </c>
      <c r="O21" s="35"/>
      <c r="P21" s="35">
        <v>227</v>
      </c>
      <c r="Q21" s="91">
        <v>37.833333333333336</v>
      </c>
    </row>
  </sheetData>
  <mergeCells count="2">
    <mergeCell ref="A1:Q1"/>
    <mergeCell ref="C2:O2"/>
  </mergeCells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D1F7-BC40-4847-A350-7BE0A4530B16}">
  <dimension ref="A3:R126"/>
  <sheetViews>
    <sheetView workbookViewId="0">
      <selection activeCell="A37" sqref="A37:XFD37"/>
    </sheetView>
  </sheetViews>
  <sheetFormatPr defaultRowHeight="15" x14ac:dyDescent="0.25"/>
  <cols>
    <col min="1" max="1" width="6.140625" customWidth="1"/>
    <col min="2" max="2" width="25.85546875" customWidth="1"/>
    <col min="3" max="4" width="6" customWidth="1"/>
    <col min="5" max="6" width="5.7109375" customWidth="1"/>
    <col min="7" max="7" width="5.28515625" customWidth="1"/>
    <col min="8" max="8" width="5.7109375" customWidth="1"/>
    <col min="9" max="9" width="5" customWidth="1"/>
    <col min="10" max="10" width="5.5703125" customWidth="1"/>
    <col min="11" max="11" width="5" customWidth="1"/>
    <col min="12" max="12" width="5.85546875" customWidth="1"/>
    <col min="13" max="13" width="6.28515625" customWidth="1"/>
    <col min="14" max="14" width="6.7109375" customWidth="1"/>
    <col min="15" max="16" width="6.42578125" customWidth="1"/>
    <col min="17" max="17" width="7.28515625" customWidth="1"/>
    <col min="18" max="18" width="9.7109375" style="101" customWidth="1"/>
  </cols>
  <sheetData>
    <row r="3" spans="1:18" ht="45" x14ac:dyDescent="0.3">
      <c r="A3" s="20" t="s">
        <v>0</v>
      </c>
      <c r="B3" s="64" t="s">
        <v>250</v>
      </c>
      <c r="C3" s="69" t="s">
        <v>351</v>
      </c>
      <c r="D3" s="69"/>
      <c r="E3" s="69" t="s">
        <v>358</v>
      </c>
      <c r="F3" s="69" t="s">
        <v>362</v>
      </c>
      <c r="G3" s="69" t="s">
        <v>352</v>
      </c>
      <c r="H3" s="69" t="s">
        <v>363</v>
      </c>
      <c r="I3" s="69" t="s">
        <v>353</v>
      </c>
      <c r="J3" s="69" t="s">
        <v>364</v>
      </c>
      <c r="K3" s="69" t="s">
        <v>354</v>
      </c>
      <c r="L3" s="69" t="s">
        <v>365</v>
      </c>
      <c r="M3" s="69" t="s">
        <v>355</v>
      </c>
      <c r="N3" s="69" t="s">
        <v>366</v>
      </c>
      <c r="O3" s="69" t="s">
        <v>337</v>
      </c>
      <c r="P3" s="69" t="s">
        <v>381</v>
      </c>
      <c r="Q3" s="69" t="s">
        <v>356</v>
      </c>
      <c r="R3" s="98" t="s">
        <v>339</v>
      </c>
    </row>
    <row r="4" spans="1:18" ht="17.25" x14ac:dyDescent="0.3">
      <c r="A4" s="20"/>
      <c r="B4" s="64"/>
      <c r="C4" s="28">
        <v>100</v>
      </c>
      <c r="D4" s="28"/>
      <c r="E4" s="28">
        <v>100</v>
      </c>
      <c r="F4" s="28"/>
      <c r="G4" s="28">
        <v>100</v>
      </c>
      <c r="H4" s="28"/>
      <c r="I4" s="28">
        <v>100</v>
      </c>
      <c r="J4" s="28"/>
      <c r="K4" s="28">
        <v>100</v>
      </c>
      <c r="L4" s="28"/>
      <c r="M4" s="28">
        <v>100</v>
      </c>
      <c r="N4" s="28"/>
      <c r="O4" s="28">
        <v>600</v>
      </c>
      <c r="P4" s="28"/>
      <c r="Q4" s="28"/>
      <c r="R4" s="99"/>
    </row>
    <row r="5" spans="1:18" ht="15.95" customHeight="1" x14ac:dyDescent="0.25">
      <c r="A5" s="1">
        <v>1</v>
      </c>
      <c r="B5" s="12" t="s">
        <v>9</v>
      </c>
      <c r="C5" s="62">
        <f>DIV_B!I6</f>
        <v>45</v>
      </c>
      <c r="D5" s="62"/>
      <c r="E5" s="62">
        <f>DIV_B!Q6</f>
        <v>32</v>
      </c>
      <c r="F5" s="62">
        <v>3</v>
      </c>
      <c r="G5" s="62">
        <f>DIV_B!Y6</f>
        <v>48</v>
      </c>
      <c r="H5" s="62"/>
      <c r="I5" s="62">
        <f>DIV_B!AG6</f>
        <v>37</v>
      </c>
      <c r="J5" s="62"/>
      <c r="K5" s="62">
        <f>DIV_B!AO6</f>
        <v>42</v>
      </c>
      <c r="L5" s="62"/>
      <c r="M5" s="62">
        <f>DIV_B!BE6</f>
        <v>29</v>
      </c>
      <c r="N5" s="62">
        <v>6</v>
      </c>
      <c r="O5" s="62">
        <f>DIV_B!BR6</f>
        <v>233</v>
      </c>
      <c r="P5" s="62">
        <v>9</v>
      </c>
      <c r="Q5" s="63">
        <f>DIV_B!BS6</f>
        <v>38.833333333333336</v>
      </c>
      <c r="R5" s="100" t="str">
        <f>DIV_B!BT6</f>
        <v>PROMOTED</v>
      </c>
    </row>
    <row r="6" spans="1:18" ht="15.95" customHeight="1" x14ac:dyDescent="0.25">
      <c r="A6" s="1">
        <v>2</v>
      </c>
      <c r="B6" s="12" t="s">
        <v>10</v>
      </c>
      <c r="C6" s="62">
        <f>DIV_B!I7</f>
        <v>51</v>
      </c>
      <c r="D6" s="62"/>
      <c r="E6" s="62">
        <f>DIV_B!Q7</f>
        <v>57</v>
      </c>
      <c r="F6" s="62"/>
      <c r="G6" s="62">
        <f>DIV_B!Y7</f>
        <v>81</v>
      </c>
      <c r="H6" s="62"/>
      <c r="I6" s="62">
        <f>DIV_B!AG7</f>
        <v>63</v>
      </c>
      <c r="J6" s="62"/>
      <c r="K6" s="62">
        <f>DIV_B!AO7</f>
        <v>79</v>
      </c>
      <c r="L6" s="62"/>
      <c r="M6" s="62">
        <f>DIV_B!BE7</f>
        <v>64</v>
      </c>
      <c r="N6" s="62"/>
      <c r="O6" s="62">
        <f>DIV_B!BR7</f>
        <v>395</v>
      </c>
      <c r="P6" s="62">
        <v>0</v>
      </c>
      <c r="Q6" s="63">
        <f>DIV_B!BS7</f>
        <v>65.833333333333329</v>
      </c>
      <c r="R6" s="100" t="str">
        <f>DIV_B!BT7</f>
        <v>GRADE I</v>
      </c>
    </row>
    <row r="7" spans="1:18" ht="15.95" customHeight="1" x14ac:dyDescent="0.25">
      <c r="A7" s="1">
        <v>3</v>
      </c>
      <c r="B7" s="10" t="s">
        <v>11</v>
      </c>
      <c r="C7" s="62">
        <f>DIV_B!I8</f>
        <v>40</v>
      </c>
      <c r="D7" s="62"/>
      <c r="E7" s="62">
        <f>DIV_B!Q8</f>
        <v>44</v>
      </c>
      <c r="F7" s="62"/>
      <c r="G7" s="62">
        <f>DIV_B!Y8</f>
        <v>55</v>
      </c>
      <c r="H7" s="62"/>
      <c r="I7" s="62">
        <f>DIV_B!AG8</f>
        <v>32</v>
      </c>
      <c r="J7" s="62">
        <v>3</v>
      </c>
      <c r="K7" s="62">
        <f>DIV_B!AO8</f>
        <v>50</v>
      </c>
      <c r="L7" s="62"/>
      <c r="M7" s="62">
        <f>DIV_B!BE8</f>
        <v>30</v>
      </c>
      <c r="N7" s="62">
        <v>5</v>
      </c>
      <c r="O7" s="62">
        <f>DIV_B!BR8</f>
        <v>251</v>
      </c>
      <c r="P7" s="62">
        <v>8</v>
      </c>
      <c r="Q7" s="63">
        <f>DIV_B!BS8</f>
        <v>41.833333333333336</v>
      </c>
      <c r="R7" s="100" t="str">
        <f>DIV_B!BT8</f>
        <v>PROMOTED</v>
      </c>
    </row>
    <row r="8" spans="1:18" ht="15.95" customHeight="1" x14ac:dyDescent="0.25">
      <c r="A8" s="1">
        <v>4</v>
      </c>
      <c r="B8" s="12" t="s">
        <v>12</v>
      </c>
      <c r="C8" s="62">
        <f>DIV_B!I9</f>
        <v>40</v>
      </c>
      <c r="D8" s="62"/>
      <c r="E8" s="62">
        <f>DIV_B!Q9</f>
        <v>28</v>
      </c>
      <c r="F8" s="62">
        <v>7</v>
      </c>
      <c r="G8" s="62">
        <f>DIV_B!Y9</f>
        <v>52</v>
      </c>
      <c r="H8" s="62"/>
      <c r="I8" s="62">
        <f>DIV_B!AG9</f>
        <v>37</v>
      </c>
      <c r="J8" s="62"/>
      <c r="K8" s="62">
        <f>DIV_B!AO9</f>
        <v>44</v>
      </c>
      <c r="L8" s="62"/>
      <c r="M8" s="62">
        <f>DIV_B!BE9</f>
        <v>33</v>
      </c>
      <c r="N8" s="62">
        <v>2</v>
      </c>
      <c r="O8" s="62">
        <f>DIV_B!BR9</f>
        <v>234</v>
      </c>
      <c r="P8" s="62">
        <v>9</v>
      </c>
      <c r="Q8" s="63">
        <f>DIV_B!BS9</f>
        <v>39</v>
      </c>
      <c r="R8" s="100" t="str">
        <f>DIV_B!BT9</f>
        <v>PROMOTED</v>
      </c>
    </row>
    <row r="9" spans="1:18" ht="15.95" customHeight="1" x14ac:dyDescent="0.25">
      <c r="A9" s="1">
        <v>5</v>
      </c>
      <c r="B9" s="12" t="s">
        <v>13</v>
      </c>
      <c r="C9" s="62">
        <f>DIV_B!I10</f>
        <v>39</v>
      </c>
      <c r="D9" s="62"/>
      <c r="E9" s="62">
        <f>DIV_B!Q10</f>
        <v>40</v>
      </c>
      <c r="F9" s="62"/>
      <c r="G9" s="62">
        <f>DIV_B!Y10</f>
        <v>41</v>
      </c>
      <c r="H9" s="62"/>
      <c r="I9" s="62">
        <f>DIV_B!AG10</f>
        <v>36</v>
      </c>
      <c r="J9" s="62"/>
      <c r="K9" s="62">
        <f>DIV_B!AO10</f>
        <v>40</v>
      </c>
      <c r="L9" s="62"/>
      <c r="M9" s="62">
        <f>DIV_B!BE10</f>
        <v>30</v>
      </c>
      <c r="N9" s="62">
        <v>5</v>
      </c>
      <c r="O9" s="62">
        <f>DIV_B!BR10</f>
        <v>226</v>
      </c>
      <c r="P9" s="62">
        <v>5</v>
      </c>
      <c r="Q9" s="63">
        <f>DIV_B!BS10</f>
        <v>37.666666666666664</v>
      </c>
      <c r="R9" s="100" t="str">
        <f>DIV_B!BT10</f>
        <v>PROMOTED</v>
      </c>
    </row>
    <row r="10" spans="1:18" ht="15.95" customHeight="1" x14ac:dyDescent="0.25">
      <c r="A10" s="1">
        <v>6</v>
      </c>
      <c r="B10" s="12" t="s">
        <v>14</v>
      </c>
      <c r="C10" s="62">
        <f>DIV_B!I11</f>
        <v>67</v>
      </c>
      <c r="D10" s="62"/>
      <c r="E10" s="62">
        <f>DIV_B!Q11</f>
        <v>57</v>
      </c>
      <c r="F10" s="62"/>
      <c r="G10" s="62">
        <f>DIV_B!Y11</f>
        <v>80</v>
      </c>
      <c r="H10" s="62"/>
      <c r="I10" s="62">
        <f>DIV_B!AG11</f>
        <v>61</v>
      </c>
      <c r="J10" s="62"/>
      <c r="K10" s="62">
        <f>DIV_B!AO11</f>
        <v>73</v>
      </c>
      <c r="L10" s="62"/>
      <c r="M10" s="62">
        <f>DIV_B!BE11</f>
        <v>48</v>
      </c>
      <c r="N10" s="62"/>
      <c r="O10" s="62">
        <f>DIV_B!BR11</f>
        <v>386</v>
      </c>
      <c r="P10" s="62">
        <v>0</v>
      </c>
      <c r="Q10" s="63">
        <f>DIV_B!BS11</f>
        <v>64.333333333333329</v>
      </c>
      <c r="R10" s="100" t="str">
        <f>DIV_B!BT11</f>
        <v>GRADE I</v>
      </c>
    </row>
    <row r="11" spans="1:18" ht="15.95" customHeight="1" x14ac:dyDescent="0.25">
      <c r="A11" s="1">
        <v>7</v>
      </c>
      <c r="B11" s="12" t="s">
        <v>15</v>
      </c>
      <c r="C11" s="62">
        <f>DIV_B!I12</f>
        <v>47</v>
      </c>
      <c r="D11" s="62"/>
      <c r="E11" s="62">
        <f>DIV_B!Q12</f>
        <v>52</v>
      </c>
      <c r="F11" s="62"/>
      <c r="G11" s="62">
        <f>DIV_B!Y12</f>
        <v>54</v>
      </c>
      <c r="H11" s="62"/>
      <c r="I11" s="62">
        <f>DIV_B!AG12</f>
        <v>40</v>
      </c>
      <c r="J11" s="62"/>
      <c r="K11" s="62">
        <f>DIV_B!AO12</f>
        <v>47</v>
      </c>
      <c r="L11" s="62"/>
      <c r="M11" s="62">
        <f>DIV_B!BE12</f>
        <v>36</v>
      </c>
      <c r="N11" s="62"/>
      <c r="O11" s="62">
        <f>DIV_B!BR12</f>
        <v>276</v>
      </c>
      <c r="P11" s="62">
        <v>0</v>
      </c>
      <c r="Q11" s="63">
        <f>DIV_B!BS12</f>
        <v>46</v>
      </c>
      <c r="R11" s="100" t="str">
        <f>DIV_B!BT12</f>
        <v>GRADE II</v>
      </c>
    </row>
    <row r="12" spans="1:18" s="82" customFormat="1" ht="15.95" customHeight="1" x14ac:dyDescent="0.25">
      <c r="A12" s="78">
        <v>8</v>
      </c>
      <c r="B12" s="79" t="s">
        <v>16</v>
      </c>
      <c r="C12" s="117">
        <f>DIV_B!I13</f>
        <v>30</v>
      </c>
      <c r="D12" s="117"/>
      <c r="E12" s="117">
        <f>DIV_B!Q13</f>
        <v>31</v>
      </c>
      <c r="F12" s="117"/>
      <c r="G12" s="117">
        <f>DIV_B!Y13</f>
        <v>32</v>
      </c>
      <c r="H12" s="117"/>
      <c r="I12" s="117">
        <f>DIV_B!AG13</f>
        <v>26</v>
      </c>
      <c r="J12" s="117"/>
      <c r="K12" s="117">
        <f>DIV_B!AO13</f>
        <v>27</v>
      </c>
      <c r="L12" s="117"/>
      <c r="M12" s="117">
        <f>DIV_B!BE13</f>
        <v>22</v>
      </c>
      <c r="N12" s="117"/>
      <c r="O12" s="117">
        <f>DIV_B!BR13</f>
        <v>168</v>
      </c>
      <c r="P12" s="117">
        <v>0</v>
      </c>
      <c r="Q12" s="118">
        <f>DIV_B!BS13</f>
        <v>28</v>
      </c>
      <c r="R12" s="120" t="str">
        <f>DIV_B!BT13</f>
        <v>FAIL</v>
      </c>
    </row>
    <row r="13" spans="1:18" ht="15.95" customHeight="1" x14ac:dyDescent="0.25">
      <c r="A13" s="1">
        <v>9</v>
      </c>
      <c r="B13" s="12" t="s">
        <v>17</v>
      </c>
      <c r="C13" s="62">
        <f>DIV_B!I14</f>
        <v>47</v>
      </c>
      <c r="D13" s="62"/>
      <c r="E13" s="62">
        <f>DIV_B!Q14</f>
        <v>51</v>
      </c>
      <c r="F13" s="62"/>
      <c r="G13" s="62">
        <f>DIV_B!Y14</f>
        <v>69</v>
      </c>
      <c r="H13" s="62"/>
      <c r="I13" s="62">
        <f>DIV_B!AG14</f>
        <v>43</v>
      </c>
      <c r="J13" s="62"/>
      <c r="K13" s="62">
        <f>DIV_B!AO14</f>
        <v>61</v>
      </c>
      <c r="L13" s="62"/>
      <c r="M13" s="62">
        <f>DIV_B!BE14</f>
        <v>38</v>
      </c>
      <c r="N13" s="62"/>
      <c r="O13" s="62">
        <f>DIV_B!BR14</f>
        <v>309</v>
      </c>
      <c r="P13" s="62">
        <v>0</v>
      </c>
      <c r="Q13" s="63">
        <f>DIV_B!BS14</f>
        <v>51.5</v>
      </c>
      <c r="R13" s="100" t="str">
        <f>DIV_B!BT14</f>
        <v>GRADE II</v>
      </c>
    </row>
    <row r="14" spans="1:18" ht="15.95" customHeight="1" x14ac:dyDescent="0.25">
      <c r="A14" s="1">
        <v>10</v>
      </c>
      <c r="B14" s="12" t="s">
        <v>18</v>
      </c>
      <c r="C14" s="62">
        <f>DIV_B!I15</f>
        <v>43</v>
      </c>
      <c r="D14" s="62"/>
      <c r="E14" s="62">
        <f>DIV_B!Q15</f>
        <v>45</v>
      </c>
      <c r="F14" s="62"/>
      <c r="G14" s="62">
        <f>DIV_B!Y15</f>
        <v>67</v>
      </c>
      <c r="H14" s="62"/>
      <c r="I14" s="62">
        <f>DIV_B!AG15</f>
        <v>51</v>
      </c>
      <c r="J14" s="62"/>
      <c r="K14" s="62">
        <f>DIV_B!AO15</f>
        <v>62</v>
      </c>
      <c r="L14" s="62"/>
      <c r="M14" s="62">
        <f>DIV_B!BE15</f>
        <v>57</v>
      </c>
      <c r="N14" s="62"/>
      <c r="O14" s="62">
        <f>DIV_B!BR15</f>
        <v>325</v>
      </c>
      <c r="P14" s="62">
        <v>0</v>
      </c>
      <c r="Q14" s="63">
        <f>DIV_B!BS15</f>
        <v>54.166666666666664</v>
      </c>
      <c r="R14" s="100" t="str">
        <f>DIV_B!BT15</f>
        <v>GRADE II</v>
      </c>
    </row>
    <row r="15" spans="1:18" ht="15.95" customHeight="1" x14ac:dyDescent="0.25">
      <c r="A15" s="1">
        <v>11</v>
      </c>
      <c r="B15" s="12" t="s">
        <v>19</v>
      </c>
      <c r="C15" s="62">
        <f>DIV_B!I16</f>
        <v>65</v>
      </c>
      <c r="D15" s="62"/>
      <c r="E15" s="62">
        <f>DIV_B!Q16</f>
        <v>53</v>
      </c>
      <c r="F15" s="62"/>
      <c r="G15" s="62">
        <f>DIV_B!Y16</f>
        <v>76</v>
      </c>
      <c r="H15" s="62"/>
      <c r="I15" s="62">
        <f>DIV_B!AG16</f>
        <v>56</v>
      </c>
      <c r="J15" s="62"/>
      <c r="K15" s="62">
        <f>DIV_B!AO16</f>
        <v>72</v>
      </c>
      <c r="L15" s="62"/>
      <c r="M15" s="62">
        <f>DIV_B!BE16</f>
        <v>57</v>
      </c>
      <c r="N15" s="62"/>
      <c r="O15" s="62">
        <f>DIV_B!BR16</f>
        <v>379</v>
      </c>
      <c r="P15" s="62">
        <v>0</v>
      </c>
      <c r="Q15" s="63">
        <f>DIV_B!BS16</f>
        <v>63.166666666666664</v>
      </c>
      <c r="R15" s="100" t="str">
        <f>DIV_B!BT16</f>
        <v>GRADE I</v>
      </c>
    </row>
    <row r="16" spans="1:18" s="82" customFormat="1" ht="15.95" customHeight="1" x14ac:dyDescent="0.25">
      <c r="A16" s="78">
        <v>12</v>
      </c>
      <c r="B16" s="79" t="s">
        <v>20</v>
      </c>
      <c r="C16" s="117">
        <f>DIV_B!I17</f>
        <v>36</v>
      </c>
      <c r="D16" s="117"/>
      <c r="E16" s="117">
        <f>DIV_B!Q17</f>
        <v>31</v>
      </c>
      <c r="F16" s="117"/>
      <c r="G16" s="117">
        <f>DIV_B!Y17</f>
        <v>36</v>
      </c>
      <c r="H16" s="117"/>
      <c r="I16" s="117">
        <f>DIV_B!AG17</f>
        <v>16</v>
      </c>
      <c r="J16" s="117"/>
      <c r="K16" s="117">
        <f>DIV_B!AO17</f>
        <v>27</v>
      </c>
      <c r="L16" s="117"/>
      <c r="M16" s="117">
        <f>DIV_B!BE17</f>
        <v>18</v>
      </c>
      <c r="N16" s="117"/>
      <c r="O16" s="117">
        <f>DIV_B!BR17</f>
        <v>164</v>
      </c>
      <c r="P16" s="117">
        <v>0</v>
      </c>
      <c r="Q16" s="118">
        <f>DIV_B!BS17</f>
        <v>27.333333333333332</v>
      </c>
      <c r="R16" s="120" t="str">
        <f>DIV_B!BT17</f>
        <v>FAIL</v>
      </c>
    </row>
    <row r="17" spans="1:18" ht="15.95" customHeight="1" x14ac:dyDescent="0.25">
      <c r="A17" s="1">
        <v>13</v>
      </c>
      <c r="B17" s="12" t="s">
        <v>21</v>
      </c>
      <c r="C17" s="62">
        <f>DIV_B!I18</f>
        <v>38</v>
      </c>
      <c r="D17" s="62"/>
      <c r="E17" s="62">
        <f>DIV_B!Q18</f>
        <v>40</v>
      </c>
      <c r="F17" s="62"/>
      <c r="G17" s="62">
        <f>DIV_B!Y18</f>
        <v>62</v>
      </c>
      <c r="H17" s="62"/>
      <c r="I17" s="62">
        <f>DIV_B!AG18</f>
        <v>42</v>
      </c>
      <c r="J17" s="62"/>
      <c r="K17" s="62">
        <f>DIV_B!AO18</f>
        <v>39</v>
      </c>
      <c r="L17" s="62"/>
      <c r="M17" s="62">
        <f>DIV_B!BE18</f>
        <v>32</v>
      </c>
      <c r="N17" s="62">
        <v>3</v>
      </c>
      <c r="O17" s="62">
        <f>DIV_B!BR18</f>
        <v>253</v>
      </c>
      <c r="P17" s="62">
        <v>3</v>
      </c>
      <c r="Q17" s="63">
        <f>DIV_B!BS18</f>
        <v>42.166666666666664</v>
      </c>
      <c r="R17" s="100" t="str">
        <f>DIV_B!BT18</f>
        <v>PROMOTED</v>
      </c>
    </row>
    <row r="18" spans="1:18" ht="15.95" customHeight="1" x14ac:dyDescent="0.25">
      <c r="A18" s="1">
        <v>14</v>
      </c>
      <c r="B18" s="12" t="s">
        <v>22</v>
      </c>
      <c r="C18" s="62">
        <f>DIV_B!I19</f>
        <v>62</v>
      </c>
      <c r="D18" s="62"/>
      <c r="E18" s="62">
        <f>DIV_B!Q19</f>
        <v>41</v>
      </c>
      <c r="F18" s="62"/>
      <c r="G18" s="62">
        <f>DIV_B!Y19</f>
        <v>75</v>
      </c>
      <c r="H18" s="62"/>
      <c r="I18" s="62">
        <f>DIV_B!AG19</f>
        <v>42</v>
      </c>
      <c r="J18" s="62"/>
      <c r="K18" s="62">
        <f>DIV_B!AO19</f>
        <v>62</v>
      </c>
      <c r="L18" s="62"/>
      <c r="M18" s="62">
        <f>DIV_B!BE19</f>
        <v>50</v>
      </c>
      <c r="N18" s="62"/>
      <c r="O18" s="62">
        <f>DIV_B!BR19</f>
        <v>332</v>
      </c>
      <c r="P18" s="62">
        <v>0</v>
      </c>
      <c r="Q18" s="63">
        <f>DIV_B!BS19</f>
        <v>55.333333333333336</v>
      </c>
      <c r="R18" s="100" t="str">
        <f>DIV_B!BT19</f>
        <v>GRADE II</v>
      </c>
    </row>
    <row r="19" spans="1:18" ht="15.95" customHeight="1" x14ac:dyDescent="0.25">
      <c r="A19" s="1">
        <v>15</v>
      </c>
      <c r="B19" s="12" t="s">
        <v>23</v>
      </c>
      <c r="C19" s="62">
        <f>DIV_B!I20</f>
        <v>56</v>
      </c>
      <c r="D19" s="62"/>
      <c r="E19" s="62">
        <f>DIV_B!Q20</f>
        <v>29</v>
      </c>
      <c r="F19" s="62">
        <v>6</v>
      </c>
      <c r="G19" s="62">
        <f>DIV_B!Y20</f>
        <v>70</v>
      </c>
      <c r="H19" s="62"/>
      <c r="I19" s="62">
        <f>DIV_B!AG20</f>
        <v>43</v>
      </c>
      <c r="J19" s="62"/>
      <c r="K19" s="62">
        <f>DIV_B!AO20</f>
        <v>57</v>
      </c>
      <c r="L19" s="62"/>
      <c r="M19" s="62">
        <f>DIV_B!BE20</f>
        <v>39</v>
      </c>
      <c r="N19" s="62"/>
      <c r="O19" s="62">
        <f>DIV_B!BR20</f>
        <v>294</v>
      </c>
      <c r="P19" s="62">
        <v>6</v>
      </c>
      <c r="Q19" s="63">
        <f>DIV_B!BS20</f>
        <v>49</v>
      </c>
      <c r="R19" s="100" t="str">
        <f>DIV_B!BT20</f>
        <v>PROMOTED</v>
      </c>
    </row>
    <row r="20" spans="1:18" ht="15.95" customHeight="1" x14ac:dyDescent="0.25">
      <c r="A20" s="1">
        <v>16</v>
      </c>
      <c r="B20" s="12" t="s">
        <v>24</v>
      </c>
      <c r="C20" s="62">
        <f>DIV_B!I21</f>
        <v>46</v>
      </c>
      <c r="D20" s="62"/>
      <c r="E20" s="62">
        <f>DIV_B!Q21</f>
        <v>40</v>
      </c>
      <c r="F20" s="62"/>
      <c r="G20" s="62">
        <f>DIV_B!Y21</f>
        <v>56</v>
      </c>
      <c r="H20" s="62"/>
      <c r="I20" s="62">
        <f>DIV_B!AG21</f>
        <v>28</v>
      </c>
      <c r="J20" s="62">
        <v>7</v>
      </c>
      <c r="K20" s="62">
        <f>DIV_B!AO21</f>
        <v>45</v>
      </c>
      <c r="L20" s="62"/>
      <c r="M20" s="62">
        <f>DIV_B!BE21</f>
        <v>38</v>
      </c>
      <c r="N20" s="62"/>
      <c r="O20" s="62">
        <f>DIV_B!BR21</f>
        <v>253</v>
      </c>
      <c r="P20" s="62">
        <v>7</v>
      </c>
      <c r="Q20" s="63">
        <f>DIV_B!BS21</f>
        <v>42.166666666666664</v>
      </c>
      <c r="R20" s="100" t="str">
        <f>DIV_B!BT21</f>
        <v>PROMOTED</v>
      </c>
    </row>
    <row r="21" spans="1:18" ht="15.95" customHeight="1" x14ac:dyDescent="0.25">
      <c r="A21" s="1">
        <v>17</v>
      </c>
      <c r="B21" s="12" t="s">
        <v>25</v>
      </c>
      <c r="C21" s="62">
        <f>DIV_B!I22</f>
        <v>54</v>
      </c>
      <c r="D21" s="62"/>
      <c r="E21" s="62">
        <f>DIV_B!Q22</f>
        <v>54</v>
      </c>
      <c r="F21" s="62"/>
      <c r="G21" s="62">
        <f>DIV_B!Y22</f>
        <v>63</v>
      </c>
      <c r="H21" s="62"/>
      <c r="I21" s="62">
        <f>DIV_B!AG22</f>
        <v>41</v>
      </c>
      <c r="J21" s="62"/>
      <c r="K21" s="62">
        <f>DIV_B!AO22</f>
        <v>57</v>
      </c>
      <c r="L21" s="62"/>
      <c r="M21" s="62">
        <f>DIV_B!BE22</f>
        <v>33</v>
      </c>
      <c r="N21" s="62">
        <v>2</v>
      </c>
      <c r="O21" s="62">
        <f>DIV_B!BR22</f>
        <v>302</v>
      </c>
      <c r="P21" s="62">
        <v>2</v>
      </c>
      <c r="Q21" s="63">
        <f>DIV_B!BS22</f>
        <v>50.333333333333336</v>
      </c>
      <c r="R21" s="100" t="str">
        <f>DIV_B!BT22</f>
        <v>PROMOTED</v>
      </c>
    </row>
    <row r="22" spans="1:18" ht="15.95" customHeight="1" x14ac:dyDescent="0.25">
      <c r="A22" s="1">
        <v>18</v>
      </c>
      <c r="B22" s="12" t="s">
        <v>26</v>
      </c>
      <c r="C22" s="62">
        <f>DIV_B!I23</f>
        <v>39</v>
      </c>
      <c r="D22" s="62"/>
      <c r="E22" s="62">
        <f>DIV_B!Q23</f>
        <v>43</v>
      </c>
      <c r="F22" s="62"/>
      <c r="G22" s="62">
        <f>DIV_B!Y23</f>
        <v>49</v>
      </c>
      <c r="H22" s="62"/>
      <c r="I22" s="62">
        <f>DIV_B!AG23</f>
        <v>33</v>
      </c>
      <c r="J22" s="62">
        <v>2</v>
      </c>
      <c r="K22" s="62">
        <f>DIV_B!AO23</f>
        <v>47</v>
      </c>
      <c r="L22" s="62"/>
      <c r="M22" s="62">
        <f>DIV_B!BE23</f>
        <v>33</v>
      </c>
      <c r="N22" s="62">
        <v>2</v>
      </c>
      <c r="O22" s="62">
        <f>DIV_B!BR23</f>
        <v>244</v>
      </c>
      <c r="P22" s="62">
        <v>4</v>
      </c>
      <c r="Q22" s="63">
        <f>DIV_B!BS23</f>
        <v>40.666666666666664</v>
      </c>
      <c r="R22" s="100" t="str">
        <f>DIV_B!BT23</f>
        <v>PROMOTED</v>
      </c>
    </row>
    <row r="23" spans="1:18" ht="15.95" customHeight="1" x14ac:dyDescent="0.25">
      <c r="A23" s="1">
        <v>19</v>
      </c>
      <c r="B23" s="12" t="s">
        <v>27</v>
      </c>
      <c r="C23" s="62">
        <f>DIV_B!I24</f>
        <v>44</v>
      </c>
      <c r="D23" s="62"/>
      <c r="E23" s="62">
        <f>DIV_B!Q24</f>
        <v>49</v>
      </c>
      <c r="F23" s="62"/>
      <c r="G23" s="62">
        <f>DIV_B!Y24</f>
        <v>42</v>
      </c>
      <c r="H23" s="62"/>
      <c r="I23" s="62">
        <f>DIV_B!AG24</f>
        <v>31</v>
      </c>
      <c r="J23" s="62">
        <v>4</v>
      </c>
      <c r="K23" s="62">
        <f>DIV_B!AO24</f>
        <v>45</v>
      </c>
      <c r="L23" s="62"/>
      <c r="M23" s="62">
        <f>DIV_B!BE24</f>
        <v>25</v>
      </c>
      <c r="N23" s="62">
        <v>10</v>
      </c>
      <c r="O23" s="62">
        <f>DIV_B!BR24</f>
        <v>236</v>
      </c>
      <c r="P23" s="62">
        <v>14</v>
      </c>
      <c r="Q23" s="63">
        <f>DIV_B!BS24</f>
        <v>39.333333333333336</v>
      </c>
      <c r="R23" s="100" t="str">
        <f>DIV_B!BT24</f>
        <v>PROMOTED</v>
      </c>
    </row>
    <row r="24" spans="1:18" ht="15.95" customHeight="1" x14ac:dyDescent="0.25">
      <c r="A24" s="1">
        <v>20</v>
      </c>
      <c r="B24" s="12" t="s">
        <v>28</v>
      </c>
      <c r="C24" s="62">
        <f>DIV_B!I25</f>
        <v>70</v>
      </c>
      <c r="D24" s="62"/>
      <c r="E24" s="62">
        <f>DIV_B!Q25</f>
        <v>58</v>
      </c>
      <c r="F24" s="62"/>
      <c r="G24" s="62">
        <f>DIV_B!Y25</f>
        <v>73</v>
      </c>
      <c r="H24" s="62"/>
      <c r="I24" s="62">
        <f>DIV_B!AG25</f>
        <v>63</v>
      </c>
      <c r="J24" s="62"/>
      <c r="K24" s="62">
        <f>DIV_B!AO25</f>
        <v>69</v>
      </c>
      <c r="L24" s="62"/>
      <c r="M24" s="62">
        <f>DIV_B!BE25</f>
        <v>46</v>
      </c>
      <c r="N24" s="62"/>
      <c r="O24" s="62">
        <f>DIV_B!BR25</f>
        <v>379</v>
      </c>
      <c r="P24" s="62">
        <v>0</v>
      </c>
      <c r="Q24" s="63">
        <f>DIV_B!BS25</f>
        <v>63.166666666666664</v>
      </c>
      <c r="R24" s="100" t="str">
        <f>DIV_B!BT25</f>
        <v>GRADE I</v>
      </c>
    </row>
    <row r="25" spans="1:18" ht="15.95" customHeight="1" x14ac:dyDescent="0.25">
      <c r="A25" s="1">
        <v>21</v>
      </c>
      <c r="B25" s="12" t="s">
        <v>29</v>
      </c>
      <c r="C25" s="62">
        <f>DIV_B!I26</f>
        <v>56</v>
      </c>
      <c r="D25" s="62"/>
      <c r="E25" s="62">
        <f>DIV_B!Q26</f>
        <v>57</v>
      </c>
      <c r="F25" s="62"/>
      <c r="G25" s="62">
        <f>DIV_B!Y26</f>
        <v>67</v>
      </c>
      <c r="H25" s="62"/>
      <c r="I25" s="62">
        <f>DIV_B!AG26</f>
        <v>32</v>
      </c>
      <c r="J25" s="62">
        <v>3</v>
      </c>
      <c r="K25" s="62">
        <f>DIV_B!AO26</f>
        <v>57</v>
      </c>
      <c r="L25" s="62"/>
      <c r="M25" s="62">
        <f>DIV_B!BE26</f>
        <v>0</v>
      </c>
      <c r="N25" s="62"/>
      <c r="O25" s="62">
        <f>DIV_B!BR26</f>
        <v>269</v>
      </c>
      <c r="P25" s="62">
        <v>3</v>
      </c>
      <c r="Q25" s="63">
        <f>DIV_B!BS26</f>
        <v>44.833333333333336</v>
      </c>
      <c r="R25" s="100" t="str">
        <f>DIV_B!BT26</f>
        <v>PROMOTED</v>
      </c>
    </row>
    <row r="26" spans="1:18" s="4" customFormat="1" ht="15.95" customHeight="1" x14ac:dyDescent="0.25">
      <c r="A26" s="1">
        <v>22</v>
      </c>
      <c r="B26" s="12" t="s">
        <v>30</v>
      </c>
      <c r="C26" s="62">
        <f>DIV_B!I27</f>
        <v>31</v>
      </c>
      <c r="D26" s="62">
        <v>4</v>
      </c>
      <c r="E26" s="62">
        <f>DIV_B!Q27</f>
        <v>33</v>
      </c>
      <c r="F26" s="62">
        <v>2</v>
      </c>
      <c r="G26" s="62">
        <f>DIV_B!Y27</f>
        <v>35</v>
      </c>
      <c r="H26" s="62"/>
      <c r="I26" s="62">
        <f>DIV_B!AG27</f>
        <v>30</v>
      </c>
      <c r="J26" s="62">
        <v>5</v>
      </c>
      <c r="K26" s="62">
        <f>DIV_B!AO27</f>
        <v>35</v>
      </c>
      <c r="L26" s="62"/>
      <c r="M26" s="62">
        <f>DIV_B!BE27</f>
        <v>26</v>
      </c>
      <c r="N26" s="62">
        <v>9</v>
      </c>
      <c r="O26" s="62">
        <f>DIV_B!BR27</f>
        <v>190</v>
      </c>
      <c r="P26" s="62">
        <v>20</v>
      </c>
      <c r="Q26" s="63">
        <f>DIV_B!BS27</f>
        <v>31.666666666666668</v>
      </c>
      <c r="R26" s="100" t="str">
        <f>DIV_B!BT27</f>
        <v>PROMOTED</v>
      </c>
    </row>
    <row r="27" spans="1:18" ht="15.95" customHeight="1" x14ac:dyDescent="0.25">
      <c r="A27" s="1">
        <v>23</v>
      </c>
      <c r="B27" s="12" t="s">
        <v>31</v>
      </c>
      <c r="C27" s="62">
        <f>DIV_B!I28</f>
        <v>57</v>
      </c>
      <c r="D27" s="62"/>
      <c r="E27" s="62">
        <f>DIV_B!Q28</f>
        <v>55</v>
      </c>
      <c r="F27" s="62"/>
      <c r="G27" s="62">
        <f>DIV_B!Y28</f>
        <v>70</v>
      </c>
      <c r="H27" s="62"/>
      <c r="I27" s="62">
        <f>DIV_B!AG28</f>
        <v>51</v>
      </c>
      <c r="J27" s="62"/>
      <c r="K27" s="62">
        <f>DIV_B!AO28</f>
        <v>66</v>
      </c>
      <c r="L27" s="62"/>
      <c r="M27" s="62">
        <f>DIV_B!BE28</f>
        <v>42</v>
      </c>
      <c r="N27" s="62"/>
      <c r="O27" s="62">
        <f>DIV_B!BR28</f>
        <v>341</v>
      </c>
      <c r="P27" s="62">
        <v>0</v>
      </c>
      <c r="Q27" s="63">
        <f>DIV_B!BS28</f>
        <v>56.833333333333336</v>
      </c>
      <c r="R27" s="100" t="str">
        <f>DIV_B!BT28</f>
        <v>GRADE II</v>
      </c>
    </row>
    <row r="28" spans="1:18" ht="15.95" customHeight="1" x14ac:dyDescent="0.25">
      <c r="A28" s="1">
        <v>24</v>
      </c>
      <c r="B28" s="12" t="s">
        <v>32</v>
      </c>
      <c r="C28" s="62">
        <f>DIV_B!I29</f>
        <v>30</v>
      </c>
      <c r="D28" s="62">
        <v>5</v>
      </c>
      <c r="E28" s="62">
        <f>DIV_B!Q29</f>
        <v>36</v>
      </c>
      <c r="F28" s="62"/>
      <c r="G28" s="62">
        <f>DIV_B!Y29</f>
        <v>39</v>
      </c>
      <c r="H28" s="62"/>
      <c r="I28" s="62">
        <f>DIV_B!AG29</f>
        <v>35</v>
      </c>
      <c r="J28" s="62"/>
      <c r="K28" s="62">
        <f>DIV_B!AO29</f>
        <v>35</v>
      </c>
      <c r="L28" s="62"/>
      <c r="M28" s="62">
        <f>DIV_B!BE29</f>
        <v>25</v>
      </c>
      <c r="N28" s="62">
        <v>10</v>
      </c>
      <c r="O28" s="62">
        <f>DIV_B!BR29</f>
        <v>200</v>
      </c>
      <c r="P28" s="62">
        <v>15</v>
      </c>
      <c r="Q28" s="63">
        <f>DIV_B!BS29</f>
        <v>33.333333333333336</v>
      </c>
      <c r="R28" s="100" t="str">
        <f>DIV_B!BT29</f>
        <v>PROMOTED</v>
      </c>
    </row>
    <row r="29" spans="1:18" ht="15.95" customHeight="1" x14ac:dyDescent="0.25">
      <c r="A29" s="1">
        <v>25</v>
      </c>
      <c r="B29" s="12" t="s">
        <v>33</v>
      </c>
      <c r="C29" s="62">
        <f>DIV_B!I30</f>
        <v>46</v>
      </c>
      <c r="D29" s="62"/>
      <c r="E29" s="62">
        <f>DIV_B!Q30</f>
        <v>46</v>
      </c>
      <c r="F29" s="62"/>
      <c r="G29" s="62">
        <f>DIV_B!Y30</f>
        <v>50</v>
      </c>
      <c r="H29" s="62"/>
      <c r="I29" s="62">
        <f>DIV_B!AG30</f>
        <v>45</v>
      </c>
      <c r="J29" s="62"/>
      <c r="K29" s="62">
        <f>DIV_B!AO30</f>
        <v>47</v>
      </c>
      <c r="L29" s="62"/>
      <c r="M29" s="62">
        <f>DIV_B!BE30</f>
        <v>37</v>
      </c>
      <c r="N29" s="62"/>
      <c r="O29" s="62">
        <f>DIV_B!BR30</f>
        <v>271</v>
      </c>
      <c r="P29" s="62">
        <v>0</v>
      </c>
      <c r="Q29" s="63">
        <f>DIV_B!BS30</f>
        <v>45.166666666666664</v>
      </c>
      <c r="R29" s="100" t="str">
        <f>DIV_B!BT30</f>
        <v>GRADE II</v>
      </c>
    </row>
    <row r="30" spans="1:18" ht="15.95" customHeight="1" x14ac:dyDescent="0.25">
      <c r="A30" s="1">
        <v>26</v>
      </c>
      <c r="B30" s="12" t="s">
        <v>34</v>
      </c>
      <c r="C30" s="62">
        <f>DIV_B!I31</f>
        <v>43</v>
      </c>
      <c r="D30" s="62"/>
      <c r="E30" s="62">
        <f>DIV_B!Q31</f>
        <v>54</v>
      </c>
      <c r="F30" s="62"/>
      <c r="G30" s="62">
        <f>DIV_B!Y31</f>
        <v>39</v>
      </c>
      <c r="H30" s="62"/>
      <c r="I30" s="62">
        <f>DIV_B!AG31</f>
        <v>34</v>
      </c>
      <c r="J30" s="62">
        <v>1</v>
      </c>
      <c r="K30" s="62">
        <f>DIV_B!AO31</f>
        <v>31</v>
      </c>
      <c r="L30" s="62">
        <v>4</v>
      </c>
      <c r="M30" s="62">
        <f>DIV_B!BE31</f>
        <v>25</v>
      </c>
      <c r="N30" s="62">
        <v>10</v>
      </c>
      <c r="O30" s="62">
        <f>DIV_B!BR31</f>
        <v>226</v>
      </c>
      <c r="P30" s="62">
        <v>15</v>
      </c>
      <c r="Q30" s="63">
        <f>DIV_B!BS31</f>
        <v>37.666666666666664</v>
      </c>
      <c r="R30" s="100" t="str">
        <f>DIV_B!BT31</f>
        <v>PROMOTED</v>
      </c>
    </row>
    <row r="31" spans="1:18" ht="15.95" customHeight="1" x14ac:dyDescent="0.25">
      <c r="A31" s="1">
        <v>27</v>
      </c>
      <c r="B31" s="12" t="s">
        <v>35</v>
      </c>
      <c r="C31" s="62">
        <f>DIV_B!I32</f>
        <v>52</v>
      </c>
      <c r="D31" s="62"/>
      <c r="E31" s="62">
        <f>DIV_B!Q32</f>
        <v>59</v>
      </c>
      <c r="F31" s="62"/>
      <c r="G31" s="62">
        <f>DIV_B!Y32</f>
        <v>80</v>
      </c>
      <c r="H31" s="62"/>
      <c r="I31" s="62">
        <f>DIV_B!AG32</f>
        <v>57</v>
      </c>
      <c r="J31" s="62"/>
      <c r="K31" s="62">
        <f>DIV_B!AO32</f>
        <v>67</v>
      </c>
      <c r="L31" s="62"/>
      <c r="M31" s="62">
        <f>DIV_B!BE32</f>
        <v>54</v>
      </c>
      <c r="N31" s="62"/>
      <c r="O31" s="62">
        <f>DIV_B!BR32</f>
        <v>369</v>
      </c>
      <c r="P31" s="62">
        <v>0</v>
      </c>
      <c r="Q31" s="63">
        <f>DIV_B!BS32</f>
        <v>61.5</v>
      </c>
      <c r="R31" s="100" t="str">
        <f>DIV_B!BT32</f>
        <v>GRADE I</v>
      </c>
    </row>
    <row r="32" spans="1:18" ht="15.95" customHeight="1" x14ac:dyDescent="0.25">
      <c r="A32" s="1">
        <v>28</v>
      </c>
      <c r="B32" s="12" t="s">
        <v>36</v>
      </c>
      <c r="C32" s="62">
        <f>DIV_B!I33</f>
        <v>58</v>
      </c>
      <c r="D32" s="62"/>
      <c r="E32" s="62">
        <f>DIV_B!Q33</f>
        <v>62</v>
      </c>
      <c r="F32" s="62"/>
      <c r="G32" s="62">
        <f>DIV_B!Y33</f>
        <v>80</v>
      </c>
      <c r="H32" s="62"/>
      <c r="I32" s="62">
        <f>DIV_B!AG33</f>
        <v>48</v>
      </c>
      <c r="J32" s="62"/>
      <c r="K32" s="62">
        <f>DIV_B!AO33</f>
        <v>74</v>
      </c>
      <c r="L32" s="62"/>
      <c r="M32" s="62">
        <f>DIV_B!BE33</f>
        <v>25</v>
      </c>
      <c r="N32" s="62">
        <v>10</v>
      </c>
      <c r="O32" s="62">
        <f>DIV_B!BR33</f>
        <v>347</v>
      </c>
      <c r="P32" s="62">
        <v>10</v>
      </c>
      <c r="Q32" s="63">
        <f>DIV_B!BS33</f>
        <v>57.833333333333336</v>
      </c>
      <c r="R32" s="100" t="str">
        <f>DIV_B!BT33</f>
        <v>PROMOTED</v>
      </c>
    </row>
    <row r="33" spans="1:18" ht="15.95" customHeight="1" x14ac:dyDescent="0.25">
      <c r="A33" s="1">
        <v>29</v>
      </c>
      <c r="B33" s="12" t="s">
        <v>37</v>
      </c>
      <c r="C33" s="62">
        <f>DIV_B!I34</f>
        <v>39</v>
      </c>
      <c r="D33" s="62"/>
      <c r="E33" s="62">
        <f>DIV_B!Q34</f>
        <v>51</v>
      </c>
      <c r="F33" s="62"/>
      <c r="G33" s="62">
        <f>DIV_B!Y34</f>
        <v>69</v>
      </c>
      <c r="H33" s="62"/>
      <c r="I33" s="62">
        <f>DIV_B!AG34</f>
        <v>66</v>
      </c>
      <c r="J33" s="62"/>
      <c r="K33" s="62">
        <f>DIV_B!AO34</f>
        <v>65</v>
      </c>
      <c r="L33" s="62"/>
      <c r="M33" s="62">
        <f>DIV_B!BE34</f>
        <v>34</v>
      </c>
      <c r="N33" s="62">
        <v>1</v>
      </c>
      <c r="O33" s="62">
        <f>DIV_B!BR34</f>
        <v>324</v>
      </c>
      <c r="P33" s="62">
        <v>1</v>
      </c>
      <c r="Q33" s="63">
        <f>DIV_B!BS34</f>
        <v>54</v>
      </c>
      <c r="R33" s="100" t="str">
        <f>DIV_B!BT34</f>
        <v>PROMOTED</v>
      </c>
    </row>
    <row r="34" spans="1:18" ht="15.95" customHeight="1" x14ac:dyDescent="0.25">
      <c r="A34" s="1">
        <v>30</v>
      </c>
      <c r="B34" s="12" t="s">
        <v>38</v>
      </c>
      <c r="C34" s="62">
        <f>DIV_B!I35</f>
        <v>46</v>
      </c>
      <c r="D34" s="62"/>
      <c r="E34" s="62">
        <f>DIV_B!Q35</f>
        <v>37</v>
      </c>
      <c r="F34" s="62"/>
      <c r="G34" s="62">
        <f>DIV_B!Y35</f>
        <v>33</v>
      </c>
      <c r="H34" s="62">
        <v>2</v>
      </c>
      <c r="I34" s="62">
        <f>DIV_B!AG35</f>
        <v>33</v>
      </c>
      <c r="J34" s="62">
        <v>2</v>
      </c>
      <c r="K34" s="62">
        <f>DIV_B!AO35</f>
        <v>36</v>
      </c>
      <c r="L34" s="62"/>
      <c r="M34" s="62">
        <f>DIV_B!BE35</f>
        <v>25</v>
      </c>
      <c r="N34" s="62">
        <v>10</v>
      </c>
      <c r="O34" s="62">
        <f>DIV_B!BR35</f>
        <v>210</v>
      </c>
      <c r="P34" s="62">
        <v>14</v>
      </c>
      <c r="Q34" s="63">
        <f>DIV_B!BS35</f>
        <v>35</v>
      </c>
      <c r="R34" s="100" t="str">
        <f>DIV_B!BT35</f>
        <v>PROMOTED</v>
      </c>
    </row>
    <row r="35" spans="1:18" ht="15.95" customHeight="1" x14ac:dyDescent="0.25">
      <c r="A35" s="1">
        <v>31</v>
      </c>
      <c r="B35" s="14" t="s">
        <v>39</v>
      </c>
      <c r="C35" s="62">
        <f>DIV_B!I36</f>
        <v>56</v>
      </c>
      <c r="D35" s="62"/>
      <c r="E35" s="62">
        <f>DIV_B!Q36</f>
        <v>60</v>
      </c>
      <c r="F35" s="62"/>
      <c r="G35" s="62">
        <f>DIV_B!Y36</f>
        <v>73</v>
      </c>
      <c r="H35" s="62"/>
      <c r="I35" s="62">
        <f>DIV_B!AG36</f>
        <v>74</v>
      </c>
      <c r="J35" s="62"/>
      <c r="K35" s="62">
        <f>DIV_B!AO36</f>
        <v>59</v>
      </c>
      <c r="L35" s="62"/>
      <c r="M35" s="62">
        <f>DIV_B!BE36</f>
        <v>73</v>
      </c>
      <c r="N35" s="62"/>
      <c r="O35" s="62">
        <f>DIV_B!BR36</f>
        <v>395</v>
      </c>
      <c r="P35" s="62">
        <v>0</v>
      </c>
      <c r="Q35" s="63">
        <f>DIV_B!BS36</f>
        <v>65.833333333333329</v>
      </c>
      <c r="R35" s="100" t="str">
        <f>DIV_B!BT36</f>
        <v>GRADE I</v>
      </c>
    </row>
    <row r="36" spans="1:18" ht="15.95" customHeight="1" x14ac:dyDescent="0.25">
      <c r="A36" s="1">
        <v>32</v>
      </c>
      <c r="B36" s="12" t="s">
        <v>40</v>
      </c>
      <c r="C36" s="62">
        <f>DIV_B!I37</f>
        <v>48</v>
      </c>
      <c r="D36" s="62"/>
      <c r="E36" s="62">
        <f>DIV_B!Q37</f>
        <v>49</v>
      </c>
      <c r="F36" s="62"/>
      <c r="G36" s="62">
        <f>DIV_B!Y37</f>
        <v>53</v>
      </c>
      <c r="H36" s="62"/>
      <c r="I36" s="62">
        <f>DIV_B!AG37</f>
        <v>31</v>
      </c>
      <c r="J36" s="62">
        <v>4</v>
      </c>
      <c r="K36" s="62">
        <f>DIV_B!AO37</f>
        <v>54</v>
      </c>
      <c r="L36" s="62"/>
      <c r="M36" s="62">
        <f>DIV_B!BE37</f>
        <v>36</v>
      </c>
      <c r="N36" s="62"/>
      <c r="O36" s="62">
        <f>DIV_B!BR37</f>
        <v>271</v>
      </c>
      <c r="P36" s="62">
        <v>4</v>
      </c>
      <c r="Q36" s="63">
        <f>DIV_B!BS37</f>
        <v>45.166666666666664</v>
      </c>
      <c r="R36" s="100" t="str">
        <f>DIV_B!BT37</f>
        <v>PROMOTED</v>
      </c>
    </row>
    <row r="37" spans="1:18" ht="15.95" customHeight="1" x14ac:dyDescent="0.25">
      <c r="A37" s="1">
        <v>33</v>
      </c>
      <c r="B37" s="12" t="s">
        <v>41</v>
      </c>
      <c r="C37" s="62">
        <f>DIV_B!I38</f>
        <v>43</v>
      </c>
      <c r="D37" s="62"/>
      <c r="E37" s="62">
        <f>DIV_B!Q38</f>
        <v>47</v>
      </c>
      <c r="F37" s="62"/>
      <c r="G37" s="62">
        <f>DIV_B!Y38</f>
        <v>52</v>
      </c>
      <c r="H37" s="62"/>
      <c r="I37" s="62">
        <f>DIV_B!AG38</f>
        <v>43</v>
      </c>
      <c r="J37" s="62"/>
      <c r="K37" s="62">
        <f>DIV_B!AO38</f>
        <v>47</v>
      </c>
      <c r="L37" s="62"/>
      <c r="M37" s="62">
        <f>DIV_B!BE38</f>
        <v>35</v>
      </c>
      <c r="N37" s="62"/>
      <c r="O37" s="62">
        <f>DIV_B!BR38</f>
        <v>267</v>
      </c>
      <c r="P37" s="62">
        <v>0</v>
      </c>
      <c r="Q37" s="63">
        <f>DIV_B!BS38</f>
        <v>44.5</v>
      </c>
      <c r="R37" s="100" t="str">
        <f>DIV_B!BT38</f>
        <v>PASS</v>
      </c>
    </row>
    <row r="38" spans="1:18" ht="15.95" customHeight="1" x14ac:dyDescent="0.25">
      <c r="A38" s="1">
        <v>34</v>
      </c>
      <c r="B38" s="12" t="s">
        <v>42</v>
      </c>
      <c r="C38" s="62">
        <f>DIV_B!I39</f>
        <v>49</v>
      </c>
      <c r="D38" s="62"/>
      <c r="E38" s="62">
        <f>DIV_B!Q39</f>
        <v>53</v>
      </c>
      <c r="F38" s="62"/>
      <c r="G38" s="62">
        <f>DIV_B!Y39</f>
        <v>51</v>
      </c>
      <c r="H38" s="62"/>
      <c r="I38" s="62">
        <f>DIV_B!AG39</f>
        <v>42</v>
      </c>
      <c r="J38" s="62"/>
      <c r="K38" s="62">
        <f>DIV_B!AO39</f>
        <v>42</v>
      </c>
      <c r="L38" s="62"/>
      <c r="M38" s="62">
        <f>DIV_B!BE39</f>
        <v>37</v>
      </c>
      <c r="N38" s="62"/>
      <c r="O38" s="62">
        <f>DIV_B!BR39</f>
        <v>274</v>
      </c>
      <c r="P38" s="62">
        <v>0</v>
      </c>
      <c r="Q38" s="63">
        <f>DIV_B!BS39</f>
        <v>45.666666666666664</v>
      </c>
      <c r="R38" s="100" t="str">
        <f>DIV_B!BT39</f>
        <v>GRADE II</v>
      </c>
    </row>
    <row r="39" spans="1:18" ht="15.95" customHeight="1" x14ac:dyDescent="0.25">
      <c r="A39" s="1">
        <v>35</v>
      </c>
      <c r="B39" s="12" t="s">
        <v>43</v>
      </c>
      <c r="C39" s="62">
        <f>DIV_B!I40</f>
        <v>36</v>
      </c>
      <c r="D39" s="62"/>
      <c r="E39" s="62">
        <f>DIV_B!Q40</f>
        <v>57</v>
      </c>
      <c r="F39" s="62"/>
      <c r="G39" s="62">
        <f>DIV_B!Y40</f>
        <v>47</v>
      </c>
      <c r="H39" s="62"/>
      <c r="I39" s="62">
        <f>DIV_B!AG40</f>
        <v>48</v>
      </c>
      <c r="J39" s="62"/>
      <c r="K39" s="62">
        <f>DIV_B!AO40</f>
        <v>39</v>
      </c>
      <c r="L39" s="62"/>
      <c r="M39" s="62">
        <f>DIV_B!BE40</f>
        <v>43</v>
      </c>
      <c r="N39" s="62"/>
      <c r="O39" s="62">
        <f>DIV_B!BR40</f>
        <v>270</v>
      </c>
      <c r="P39" s="62">
        <v>0</v>
      </c>
      <c r="Q39" s="63">
        <f>DIV_B!BS40</f>
        <v>45</v>
      </c>
      <c r="R39" s="100" t="str">
        <f>DIV_B!BT40</f>
        <v>GRADE II</v>
      </c>
    </row>
    <row r="40" spans="1:18" ht="15.95" customHeight="1" x14ac:dyDescent="0.25">
      <c r="A40" s="1">
        <v>36</v>
      </c>
      <c r="B40" s="12" t="s">
        <v>44</v>
      </c>
      <c r="C40" s="62">
        <f>DIV_B!I41</f>
        <v>57</v>
      </c>
      <c r="D40" s="62"/>
      <c r="E40" s="62">
        <f>DIV_B!Q41</f>
        <v>62</v>
      </c>
      <c r="F40" s="62"/>
      <c r="G40" s="62">
        <f>DIV_B!Y41</f>
        <v>77</v>
      </c>
      <c r="H40" s="62"/>
      <c r="I40" s="62">
        <f>DIV_B!AG41</f>
        <v>60</v>
      </c>
      <c r="J40" s="62"/>
      <c r="K40" s="62">
        <f>DIV_B!AO41</f>
        <v>75</v>
      </c>
      <c r="L40" s="62"/>
      <c r="M40" s="62">
        <f>DIV_B!BE41</f>
        <v>29</v>
      </c>
      <c r="N40" s="62">
        <v>6</v>
      </c>
      <c r="O40" s="62">
        <f>DIV_B!BR41</f>
        <v>360</v>
      </c>
      <c r="P40" s="62">
        <v>6</v>
      </c>
      <c r="Q40" s="63">
        <f>DIV_B!BS41</f>
        <v>60</v>
      </c>
      <c r="R40" s="100" t="str">
        <f>DIV_B!BT41</f>
        <v>PROMOTED</v>
      </c>
    </row>
    <row r="41" spans="1:18" ht="15.95" customHeight="1" x14ac:dyDescent="0.25">
      <c r="A41" s="1">
        <v>37</v>
      </c>
      <c r="B41" s="10" t="s">
        <v>45</v>
      </c>
      <c r="C41" s="62">
        <f>DIV_B!I42</f>
        <v>60</v>
      </c>
      <c r="D41" s="62"/>
      <c r="E41" s="62">
        <f>DIV_B!Q42</f>
        <v>69</v>
      </c>
      <c r="F41" s="62"/>
      <c r="G41" s="62">
        <f>DIV_B!Y42</f>
        <v>86</v>
      </c>
      <c r="H41" s="62"/>
      <c r="I41" s="62">
        <f>DIV_B!AG42</f>
        <v>54</v>
      </c>
      <c r="J41" s="62"/>
      <c r="K41" s="62">
        <f>DIV_B!AO42</f>
        <v>82</v>
      </c>
      <c r="L41" s="62"/>
      <c r="M41" s="62">
        <f>DIV_B!BE42</f>
        <v>61</v>
      </c>
      <c r="N41" s="62"/>
      <c r="O41" s="62">
        <f>DIV_B!BR42</f>
        <v>412</v>
      </c>
      <c r="P41" s="62">
        <v>0</v>
      </c>
      <c r="Q41" s="63">
        <f>DIV_B!BS42</f>
        <v>68.666666666666671</v>
      </c>
      <c r="R41" s="100" t="str">
        <f>DIV_B!BT42</f>
        <v>GRADE I</v>
      </c>
    </row>
    <row r="42" spans="1:18" ht="15.95" customHeight="1" x14ac:dyDescent="0.25">
      <c r="A42" s="1">
        <v>38</v>
      </c>
      <c r="B42" s="12" t="s">
        <v>46</v>
      </c>
      <c r="C42" s="62">
        <f>DIV_B!I43</f>
        <v>37</v>
      </c>
      <c r="D42" s="62"/>
      <c r="E42" s="62">
        <f>DIV_B!Q43</f>
        <v>55</v>
      </c>
      <c r="F42" s="62"/>
      <c r="G42" s="62">
        <f>DIV_B!Y43</f>
        <v>59</v>
      </c>
      <c r="H42" s="62"/>
      <c r="I42" s="62">
        <f>DIV_B!AG43</f>
        <v>44</v>
      </c>
      <c r="J42" s="62"/>
      <c r="K42" s="62">
        <f>DIV_B!AO43</f>
        <v>55</v>
      </c>
      <c r="L42" s="62"/>
      <c r="M42" s="62">
        <f>DIV_B!BE43</f>
        <v>34</v>
      </c>
      <c r="N42" s="62">
        <v>1</v>
      </c>
      <c r="O42" s="62">
        <f>DIV_B!BR43</f>
        <v>284</v>
      </c>
      <c r="P42" s="62">
        <v>1</v>
      </c>
      <c r="Q42" s="63">
        <f>DIV_B!BS43</f>
        <v>47.333333333333336</v>
      </c>
      <c r="R42" s="100" t="str">
        <f>DIV_B!BT43</f>
        <v>PROMOTED</v>
      </c>
    </row>
    <row r="43" spans="1:18" ht="15.95" customHeight="1" x14ac:dyDescent="0.25">
      <c r="A43" s="1">
        <v>39</v>
      </c>
      <c r="B43" s="12" t="s">
        <v>47</v>
      </c>
      <c r="C43" s="62">
        <f>DIV_B!I44</f>
        <v>54</v>
      </c>
      <c r="D43" s="62"/>
      <c r="E43" s="62">
        <f>DIV_B!Q44</f>
        <v>66</v>
      </c>
      <c r="F43" s="62"/>
      <c r="G43" s="62">
        <f>DIV_B!Y44</f>
        <v>74</v>
      </c>
      <c r="H43" s="62"/>
      <c r="I43" s="62">
        <f>DIV_B!AG44</f>
        <v>56</v>
      </c>
      <c r="J43" s="62"/>
      <c r="K43" s="62">
        <f>DIV_B!AO44</f>
        <v>64</v>
      </c>
      <c r="L43" s="62"/>
      <c r="M43" s="62">
        <f>DIV_B!BE44</f>
        <v>61</v>
      </c>
      <c r="N43" s="62"/>
      <c r="O43" s="62">
        <f>DIV_B!BR44</f>
        <v>375</v>
      </c>
      <c r="P43" s="62">
        <v>0</v>
      </c>
      <c r="Q43" s="63">
        <f>DIV_B!BS44</f>
        <v>62.5</v>
      </c>
      <c r="R43" s="100" t="str">
        <f>DIV_B!BT44</f>
        <v>GRADE I</v>
      </c>
    </row>
    <row r="44" spans="1:18" ht="15.95" customHeight="1" x14ac:dyDescent="0.25">
      <c r="A44" s="1">
        <v>40</v>
      </c>
      <c r="B44" s="12" t="s">
        <v>48</v>
      </c>
      <c r="C44" s="62">
        <f>DIV_B!I45</f>
        <v>54</v>
      </c>
      <c r="D44" s="62"/>
      <c r="E44" s="62">
        <f>DIV_B!Q45</f>
        <v>41</v>
      </c>
      <c r="F44" s="62"/>
      <c r="G44" s="62">
        <f>DIV_B!Y45</f>
        <v>54</v>
      </c>
      <c r="H44" s="62"/>
      <c r="I44" s="62">
        <f>DIV_B!AG45</f>
        <v>30</v>
      </c>
      <c r="J44" s="62">
        <v>5</v>
      </c>
      <c r="K44" s="62">
        <f>DIV_B!AO45</f>
        <v>40</v>
      </c>
      <c r="L44" s="62"/>
      <c r="M44" s="62">
        <f>DIV_B!BE45</f>
        <v>25</v>
      </c>
      <c r="N44" s="62">
        <v>10</v>
      </c>
      <c r="O44" s="62">
        <f>DIV_B!BR45</f>
        <v>244</v>
      </c>
      <c r="P44" s="62">
        <v>14</v>
      </c>
      <c r="Q44" s="63">
        <f>DIV_B!BS45</f>
        <v>40.666666666666664</v>
      </c>
      <c r="R44" s="100" t="s">
        <v>375</v>
      </c>
    </row>
    <row r="45" spans="1:18" ht="15.95" customHeight="1" x14ac:dyDescent="0.25">
      <c r="A45" s="1">
        <v>41</v>
      </c>
      <c r="B45" s="12" t="s">
        <v>49</v>
      </c>
      <c r="C45" s="62">
        <f>DIV_B!I46</f>
        <v>66</v>
      </c>
      <c r="D45" s="62"/>
      <c r="E45" s="62">
        <f>DIV_B!Q46</f>
        <v>59</v>
      </c>
      <c r="F45" s="62"/>
      <c r="G45" s="62">
        <f>DIV_B!Y46</f>
        <v>70</v>
      </c>
      <c r="H45" s="62"/>
      <c r="I45" s="62">
        <f>DIV_B!AG46</f>
        <v>50</v>
      </c>
      <c r="J45" s="62"/>
      <c r="K45" s="62">
        <f>DIV_B!AO46</f>
        <v>71</v>
      </c>
      <c r="L45" s="62"/>
      <c r="M45" s="62">
        <f>DIV_B!BE46</f>
        <v>59</v>
      </c>
      <c r="N45" s="62"/>
      <c r="O45" s="62">
        <f>DIV_B!BR46</f>
        <v>375</v>
      </c>
      <c r="P45" s="62">
        <v>0</v>
      </c>
      <c r="Q45" s="63">
        <f>DIV_B!BS46</f>
        <v>62.5</v>
      </c>
      <c r="R45" s="100" t="str">
        <f>DIV_B!BT46</f>
        <v>GRADE I</v>
      </c>
    </row>
    <row r="46" spans="1:18" ht="15.95" customHeight="1" x14ac:dyDescent="0.25">
      <c r="A46" s="1">
        <v>42</v>
      </c>
      <c r="B46" s="12" t="s">
        <v>50</v>
      </c>
      <c r="C46" s="62">
        <f>DIV_B!I47</f>
        <v>62</v>
      </c>
      <c r="D46" s="62"/>
      <c r="E46" s="62">
        <f>DIV_B!Q47</f>
        <v>40</v>
      </c>
      <c r="F46" s="62"/>
      <c r="G46" s="62">
        <f>DIV_B!Y47</f>
        <v>68</v>
      </c>
      <c r="H46" s="62"/>
      <c r="I46" s="62">
        <f>DIV_B!AG47</f>
        <v>52</v>
      </c>
      <c r="J46" s="62"/>
      <c r="K46" s="62">
        <f>DIV_B!AO47</f>
        <v>71</v>
      </c>
      <c r="L46" s="62"/>
      <c r="M46" s="62">
        <f>DIV_B!BE47</f>
        <v>55</v>
      </c>
      <c r="N46" s="62"/>
      <c r="O46" s="62">
        <f>DIV_B!BR47</f>
        <v>348</v>
      </c>
      <c r="P46" s="62">
        <v>0</v>
      </c>
      <c r="Q46" s="63">
        <f>DIV_B!BS47</f>
        <v>58</v>
      </c>
      <c r="R46" s="100" t="str">
        <f>DIV_B!BT47</f>
        <v>GRADE II</v>
      </c>
    </row>
    <row r="47" spans="1:18" ht="15.95" customHeight="1" x14ac:dyDescent="0.25">
      <c r="A47" s="1">
        <v>43</v>
      </c>
      <c r="B47" s="12" t="s">
        <v>51</v>
      </c>
      <c r="C47" s="62">
        <f>DIV_B!I48</f>
        <v>41</v>
      </c>
      <c r="D47" s="62"/>
      <c r="E47" s="62">
        <f>DIV_B!Q48</f>
        <v>49</v>
      </c>
      <c r="F47" s="62"/>
      <c r="G47" s="62">
        <f>DIV_B!Y48</f>
        <v>45</v>
      </c>
      <c r="H47" s="62"/>
      <c r="I47" s="62">
        <f>DIV_B!AG48</f>
        <v>42</v>
      </c>
      <c r="J47" s="62"/>
      <c r="K47" s="62">
        <f>DIV_B!AO48</f>
        <v>43</v>
      </c>
      <c r="L47" s="62"/>
      <c r="M47" s="62">
        <f>DIV_B!BE48</f>
        <v>51</v>
      </c>
      <c r="N47" s="62"/>
      <c r="O47" s="62">
        <f>DIV_B!BR48</f>
        <v>271</v>
      </c>
      <c r="P47" s="62">
        <v>0</v>
      </c>
      <c r="Q47" s="63">
        <f>DIV_B!BS48</f>
        <v>45.166666666666664</v>
      </c>
      <c r="R47" s="100" t="str">
        <f>DIV_B!BT48</f>
        <v>GRADE II</v>
      </c>
    </row>
    <row r="48" spans="1:18" ht="15.95" customHeight="1" x14ac:dyDescent="0.25">
      <c r="A48" s="1">
        <v>44</v>
      </c>
      <c r="B48" s="10" t="s">
        <v>52</v>
      </c>
      <c r="C48" s="62">
        <f>DIV_B!I49</f>
        <v>50</v>
      </c>
      <c r="D48" s="62"/>
      <c r="E48" s="62">
        <f>DIV_B!Q49</f>
        <v>54</v>
      </c>
      <c r="F48" s="62"/>
      <c r="G48" s="62">
        <f>DIV_B!Y49</f>
        <v>61</v>
      </c>
      <c r="H48" s="62"/>
      <c r="I48" s="62">
        <f>DIV_B!AG49</f>
        <v>77</v>
      </c>
      <c r="J48" s="62"/>
      <c r="K48" s="62">
        <f>DIV_B!AO49</f>
        <v>55</v>
      </c>
      <c r="L48" s="62"/>
      <c r="M48" s="62">
        <f>DIV_B!BE49</f>
        <v>62</v>
      </c>
      <c r="N48" s="62"/>
      <c r="O48" s="62" t="str">
        <f>DIV_B!BR49</f>
        <v>359 #1</v>
      </c>
      <c r="P48" s="62">
        <v>0</v>
      </c>
      <c r="Q48" s="63">
        <f>DIV_B!BS49</f>
        <v>60</v>
      </c>
      <c r="R48" s="100" t="str">
        <f>DIV_B!BT49</f>
        <v>GRADE I</v>
      </c>
    </row>
    <row r="49" spans="1:18" ht="15.95" customHeight="1" x14ac:dyDescent="0.25">
      <c r="A49" s="1">
        <v>45</v>
      </c>
      <c r="B49" s="14" t="s">
        <v>53</v>
      </c>
      <c r="C49" s="62">
        <f>DIV_B!I50</f>
        <v>56</v>
      </c>
      <c r="D49" s="62"/>
      <c r="E49" s="62">
        <f>DIV_B!Q50</f>
        <v>55</v>
      </c>
      <c r="F49" s="62"/>
      <c r="G49" s="62">
        <f>DIV_B!Y50</f>
        <v>86</v>
      </c>
      <c r="H49" s="62"/>
      <c r="I49" s="62">
        <f>DIV_B!AG50</f>
        <v>67</v>
      </c>
      <c r="J49" s="62"/>
      <c r="K49" s="62">
        <f>DIV_B!AO50</f>
        <v>78</v>
      </c>
      <c r="L49" s="62"/>
      <c r="M49" s="62">
        <f>DIV_B!BE50</f>
        <v>70</v>
      </c>
      <c r="N49" s="62"/>
      <c r="O49" s="62">
        <f>DIV_B!BR50</f>
        <v>412</v>
      </c>
      <c r="P49" s="62">
        <v>0</v>
      </c>
      <c r="Q49" s="63">
        <f>DIV_B!BS50</f>
        <v>68.666666666666671</v>
      </c>
      <c r="R49" s="100" t="str">
        <f>DIV_B!BT50</f>
        <v>GRADE I</v>
      </c>
    </row>
    <row r="50" spans="1:18" ht="15.95" customHeight="1" x14ac:dyDescent="0.25">
      <c r="A50" s="1">
        <v>46</v>
      </c>
      <c r="B50" s="12" t="s">
        <v>54</v>
      </c>
      <c r="C50" s="62">
        <f>DIV_B!I51</f>
        <v>49</v>
      </c>
      <c r="D50" s="62"/>
      <c r="E50" s="62">
        <f>DIV_B!Q51</f>
        <v>58</v>
      </c>
      <c r="F50" s="62"/>
      <c r="G50" s="62">
        <f>DIV_B!Y51</f>
        <v>63</v>
      </c>
      <c r="H50" s="62"/>
      <c r="I50" s="62">
        <f>DIV_B!AG51</f>
        <v>65</v>
      </c>
      <c r="J50" s="62"/>
      <c r="K50" s="62">
        <f>DIV_B!AO51</f>
        <v>44</v>
      </c>
      <c r="L50" s="62"/>
      <c r="M50" s="62">
        <f>DIV_B!BE51</f>
        <v>72</v>
      </c>
      <c r="N50" s="62"/>
      <c r="O50" s="62">
        <f>DIV_B!BR51</f>
        <v>351</v>
      </c>
      <c r="P50" s="62">
        <v>0</v>
      </c>
      <c r="Q50" s="63">
        <f>DIV_B!BS51</f>
        <v>58.5</v>
      </c>
      <c r="R50" s="100" t="str">
        <f>DIV_B!BT51</f>
        <v>GRADE II</v>
      </c>
    </row>
    <row r="51" spans="1:18" ht="15.95" customHeight="1" x14ac:dyDescent="0.25">
      <c r="A51" s="1">
        <v>47</v>
      </c>
      <c r="B51" s="12" t="s">
        <v>55</v>
      </c>
      <c r="C51" s="62">
        <f>DIV_B!I52</f>
        <v>41</v>
      </c>
      <c r="D51" s="62"/>
      <c r="E51" s="62">
        <f>DIV_B!Q52</f>
        <v>44</v>
      </c>
      <c r="F51" s="62"/>
      <c r="G51" s="62">
        <f>DIV_B!Y52</f>
        <v>56</v>
      </c>
      <c r="H51" s="62"/>
      <c r="I51" s="62">
        <f>DIV_B!AG52</f>
        <v>40</v>
      </c>
      <c r="J51" s="62"/>
      <c r="K51" s="62">
        <f>DIV_B!AO52</f>
        <v>40</v>
      </c>
      <c r="L51" s="62"/>
      <c r="M51" s="62">
        <f>DIV_B!BE52</f>
        <v>32</v>
      </c>
      <c r="N51" s="62">
        <v>3</v>
      </c>
      <c r="O51" s="62">
        <f>DIV_B!BR52</f>
        <v>253</v>
      </c>
      <c r="P51" s="62">
        <v>3</v>
      </c>
      <c r="Q51" s="63">
        <f>DIV_B!BS52</f>
        <v>42.166666666666664</v>
      </c>
      <c r="R51" s="100" t="str">
        <f>DIV_B!BT52</f>
        <v>PROMOTED</v>
      </c>
    </row>
    <row r="52" spans="1:18" ht="15.95" customHeight="1" x14ac:dyDescent="0.25">
      <c r="A52" s="1">
        <v>48</v>
      </c>
      <c r="B52" s="12" t="s">
        <v>56</v>
      </c>
      <c r="C52" s="62">
        <f>DIV_B!I53</f>
        <v>40</v>
      </c>
      <c r="D52" s="62"/>
      <c r="E52" s="62">
        <f>DIV_B!Q53</f>
        <v>41</v>
      </c>
      <c r="F52" s="62"/>
      <c r="G52" s="62">
        <f>DIV_B!Y53</f>
        <v>63</v>
      </c>
      <c r="H52" s="62"/>
      <c r="I52" s="62">
        <f>DIV_B!AG53</f>
        <v>44</v>
      </c>
      <c r="J52" s="62"/>
      <c r="K52" s="62">
        <f>DIV_B!AO53</f>
        <v>45</v>
      </c>
      <c r="L52" s="62"/>
      <c r="M52" s="62">
        <f>DIV_B!BE53</f>
        <v>32</v>
      </c>
      <c r="N52" s="62">
        <v>3</v>
      </c>
      <c r="O52" s="62">
        <f>DIV_B!BR53</f>
        <v>265</v>
      </c>
      <c r="P52" s="62">
        <v>3</v>
      </c>
      <c r="Q52" s="63">
        <f>DIV_B!BS53</f>
        <v>44.166666666666664</v>
      </c>
      <c r="R52" s="100" t="str">
        <f>DIV_B!BT53</f>
        <v>PROMOTED</v>
      </c>
    </row>
    <row r="53" spans="1:18" ht="15.95" customHeight="1" x14ac:dyDescent="0.25">
      <c r="A53" s="1">
        <v>49</v>
      </c>
      <c r="B53" s="12" t="s">
        <v>57</v>
      </c>
      <c r="C53" s="62">
        <f>DIV_B!I54</f>
        <v>61</v>
      </c>
      <c r="D53" s="62"/>
      <c r="E53" s="62">
        <f>DIV_B!Q54</f>
        <v>55</v>
      </c>
      <c r="F53" s="62"/>
      <c r="G53" s="62">
        <f>DIV_B!Y54</f>
        <v>78</v>
      </c>
      <c r="H53" s="62"/>
      <c r="I53" s="62">
        <f>DIV_B!AG54</f>
        <v>80</v>
      </c>
      <c r="J53" s="62"/>
      <c r="K53" s="62">
        <f>DIV_B!AO54</f>
        <v>77</v>
      </c>
      <c r="L53" s="62"/>
      <c r="M53" s="62">
        <f>DIV_B!BE54</f>
        <v>78</v>
      </c>
      <c r="N53" s="62"/>
      <c r="O53" s="62">
        <f>DIV_B!BR54</f>
        <v>429</v>
      </c>
      <c r="P53" s="62">
        <v>0</v>
      </c>
      <c r="Q53" s="63">
        <f>DIV_B!BS54</f>
        <v>71.5</v>
      </c>
      <c r="R53" s="100" t="str">
        <f>DIV_B!BT54</f>
        <v>GRADE I</v>
      </c>
    </row>
    <row r="54" spans="1:18" ht="15.95" customHeight="1" x14ac:dyDescent="0.25">
      <c r="A54" s="1">
        <v>50</v>
      </c>
      <c r="B54" s="12" t="s">
        <v>58</v>
      </c>
      <c r="C54" s="62">
        <f>DIV_B!I55</f>
        <v>33</v>
      </c>
      <c r="D54" s="62">
        <v>2</v>
      </c>
      <c r="E54" s="62">
        <f>DIV_B!Q55</f>
        <v>52</v>
      </c>
      <c r="F54" s="62"/>
      <c r="G54" s="62">
        <f>DIV_B!Y55</f>
        <v>50</v>
      </c>
      <c r="H54" s="62"/>
      <c r="I54" s="62">
        <f>DIV_B!AG55</f>
        <v>45</v>
      </c>
      <c r="J54" s="62"/>
      <c r="K54" s="62">
        <f>DIV_B!AO55</f>
        <v>46</v>
      </c>
      <c r="L54" s="62"/>
      <c r="M54" s="62">
        <f>DIV_B!BE55</f>
        <v>39</v>
      </c>
      <c r="N54" s="62"/>
      <c r="O54" s="62">
        <f>DIV_B!BR55</f>
        <v>265</v>
      </c>
      <c r="P54" s="62">
        <v>2</v>
      </c>
      <c r="Q54" s="63">
        <f>DIV_B!BS55</f>
        <v>44.166666666666664</v>
      </c>
      <c r="R54" s="100" t="str">
        <f>DIV_B!BT55</f>
        <v>PROMOTED</v>
      </c>
    </row>
    <row r="55" spans="1:18" ht="15.95" customHeight="1" x14ac:dyDescent="0.25">
      <c r="A55" s="1">
        <v>51</v>
      </c>
      <c r="B55" s="12" t="s">
        <v>59</v>
      </c>
      <c r="C55" s="62">
        <f>DIV_B!I56</f>
        <v>43</v>
      </c>
      <c r="D55" s="62"/>
      <c r="E55" s="62">
        <f>DIV_B!Q56</f>
        <v>61</v>
      </c>
      <c r="F55" s="62"/>
      <c r="G55" s="62">
        <f>DIV_B!Y56</f>
        <v>71</v>
      </c>
      <c r="H55" s="62"/>
      <c r="I55" s="62">
        <f>DIV_B!AG56</f>
        <v>49</v>
      </c>
      <c r="J55" s="62"/>
      <c r="K55" s="62">
        <f>DIV_B!AO56</f>
        <v>56</v>
      </c>
      <c r="L55" s="62"/>
      <c r="M55" s="62">
        <f>DIV_B!BE56</f>
        <v>51</v>
      </c>
      <c r="N55" s="62"/>
      <c r="O55" s="62">
        <f>DIV_B!BR56</f>
        <v>331</v>
      </c>
      <c r="P55" s="62">
        <v>0</v>
      </c>
      <c r="Q55" s="63">
        <f>DIV_B!BS56</f>
        <v>55.166666666666664</v>
      </c>
      <c r="R55" s="100" t="str">
        <f>DIV_B!BT56</f>
        <v>GRADE II</v>
      </c>
    </row>
    <row r="56" spans="1:18" ht="15.95" customHeight="1" x14ac:dyDescent="0.25">
      <c r="A56" s="1">
        <v>52</v>
      </c>
      <c r="B56" s="12" t="s">
        <v>60</v>
      </c>
      <c r="C56" s="62">
        <f>DIV_B!I57</f>
        <v>46</v>
      </c>
      <c r="D56" s="62"/>
      <c r="E56" s="62">
        <f>DIV_B!Q57</f>
        <v>53</v>
      </c>
      <c r="F56" s="62"/>
      <c r="G56" s="62">
        <f>DIV_B!Y57</f>
        <v>58</v>
      </c>
      <c r="H56" s="62"/>
      <c r="I56" s="62">
        <f>DIV_B!AG57</f>
        <v>40</v>
      </c>
      <c r="J56" s="62"/>
      <c r="K56" s="62">
        <f>DIV_B!AO57</f>
        <v>49</v>
      </c>
      <c r="L56" s="62"/>
      <c r="M56" s="62">
        <f>DIV_B!BE57</f>
        <v>41</v>
      </c>
      <c r="N56" s="62"/>
      <c r="O56" s="62">
        <f>DIV_B!BR57</f>
        <v>287</v>
      </c>
      <c r="P56" s="62">
        <v>0</v>
      </c>
      <c r="Q56" s="63">
        <f>DIV_B!BS57</f>
        <v>47.833333333333336</v>
      </c>
      <c r="R56" s="100" t="str">
        <f>DIV_B!BT57</f>
        <v>GRADE II</v>
      </c>
    </row>
    <row r="57" spans="1:18" ht="15.95" customHeight="1" x14ac:dyDescent="0.25">
      <c r="A57" s="1">
        <v>53</v>
      </c>
      <c r="B57" s="12" t="s">
        <v>61</v>
      </c>
      <c r="C57" s="62">
        <f>DIV_B!I58</f>
        <v>51</v>
      </c>
      <c r="D57" s="62"/>
      <c r="E57" s="62">
        <f>DIV_B!Q58</f>
        <v>59</v>
      </c>
      <c r="F57" s="62"/>
      <c r="G57" s="62">
        <f>DIV_B!Y58</f>
        <v>76</v>
      </c>
      <c r="H57" s="62"/>
      <c r="I57" s="62">
        <f>DIV_B!AG58</f>
        <v>53</v>
      </c>
      <c r="J57" s="62"/>
      <c r="K57" s="62">
        <f>DIV_B!AO58</f>
        <v>62</v>
      </c>
      <c r="L57" s="62"/>
      <c r="M57" s="62">
        <f>DIV_B!BE58</f>
        <v>34</v>
      </c>
      <c r="N57" s="62">
        <v>1</v>
      </c>
      <c r="O57" s="62">
        <f>DIV_B!BR58</f>
        <v>335</v>
      </c>
      <c r="P57" s="62">
        <v>1</v>
      </c>
      <c r="Q57" s="63">
        <f>DIV_B!BS58</f>
        <v>55.833333333333336</v>
      </c>
      <c r="R57" s="100" t="str">
        <f>DIV_B!BT58</f>
        <v>PROMOTED</v>
      </c>
    </row>
    <row r="58" spans="1:18" ht="15.95" customHeight="1" x14ac:dyDescent="0.25">
      <c r="A58" s="1">
        <v>54</v>
      </c>
      <c r="B58" s="12" t="s">
        <v>62</v>
      </c>
      <c r="C58" s="62">
        <f>DIV_B!I59</f>
        <v>57</v>
      </c>
      <c r="D58" s="62"/>
      <c r="E58" s="62">
        <f>DIV_B!Q59</f>
        <v>55</v>
      </c>
      <c r="F58" s="62"/>
      <c r="G58" s="62">
        <f>DIV_B!Y59</f>
        <v>58</v>
      </c>
      <c r="H58" s="62"/>
      <c r="I58" s="62">
        <f>DIV_B!AG59</f>
        <v>48</v>
      </c>
      <c r="J58" s="62"/>
      <c r="K58" s="62">
        <f>DIV_B!AO59</f>
        <v>58</v>
      </c>
      <c r="L58" s="62"/>
      <c r="M58" s="62">
        <f>DIV_B!BE59</f>
        <v>58</v>
      </c>
      <c r="N58" s="62"/>
      <c r="O58" s="62">
        <f>DIV_B!BR59</f>
        <v>334</v>
      </c>
      <c r="P58" s="62">
        <v>0</v>
      </c>
      <c r="Q58" s="63">
        <f>DIV_B!BS59</f>
        <v>55.666666666666664</v>
      </c>
      <c r="R58" s="100" t="str">
        <f>DIV_B!BT59</f>
        <v>GRADE II</v>
      </c>
    </row>
    <row r="59" spans="1:18" ht="15.95" customHeight="1" x14ac:dyDescent="0.25">
      <c r="A59" s="1">
        <v>55</v>
      </c>
      <c r="B59" s="12" t="s">
        <v>63</v>
      </c>
      <c r="C59" s="62">
        <f>DIV_B!I60</f>
        <v>43</v>
      </c>
      <c r="D59" s="62"/>
      <c r="E59" s="62">
        <f>DIV_B!Q60</f>
        <v>41</v>
      </c>
      <c r="F59" s="62"/>
      <c r="G59" s="62">
        <f>DIV_B!Y60</f>
        <v>38</v>
      </c>
      <c r="H59" s="62"/>
      <c r="I59" s="62">
        <f>DIV_B!AG60</f>
        <v>35</v>
      </c>
      <c r="J59" s="62"/>
      <c r="K59" s="62">
        <f>DIV_B!AO60</f>
        <v>46</v>
      </c>
      <c r="L59" s="62"/>
      <c r="M59" s="62">
        <f>DIV_B!BE60</f>
        <v>29</v>
      </c>
      <c r="N59" s="62">
        <v>6</v>
      </c>
      <c r="O59" s="62">
        <f>DIV_B!BR60</f>
        <v>232</v>
      </c>
      <c r="P59" s="62">
        <v>6</v>
      </c>
      <c r="Q59" s="63">
        <f>DIV_B!BS60</f>
        <v>38.666666666666664</v>
      </c>
      <c r="R59" s="100" t="str">
        <f>DIV_B!BT60</f>
        <v>PROMOTED</v>
      </c>
    </row>
    <row r="60" spans="1:18" ht="15.95" customHeight="1" x14ac:dyDescent="0.25">
      <c r="A60" s="1">
        <v>56</v>
      </c>
      <c r="B60" s="12" t="s">
        <v>64</v>
      </c>
      <c r="C60" s="62">
        <f>DIV_B!I61</f>
        <v>60</v>
      </c>
      <c r="D60" s="62"/>
      <c r="E60" s="62">
        <f>DIV_B!Q61</f>
        <v>52</v>
      </c>
      <c r="F60" s="62"/>
      <c r="G60" s="62">
        <f>DIV_B!Y61</f>
        <v>67</v>
      </c>
      <c r="H60" s="62"/>
      <c r="I60" s="62">
        <f>DIV_B!AG61</f>
        <v>52</v>
      </c>
      <c r="J60" s="62"/>
      <c r="K60" s="62">
        <f>DIV_B!AO61</f>
        <v>65</v>
      </c>
      <c r="L60" s="62"/>
      <c r="M60" s="62">
        <f>DIV_B!BE61</f>
        <v>42</v>
      </c>
      <c r="N60" s="62"/>
      <c r="O60" s="62">
        <f>DIV_B!BR61</f>
        <v>338</v>
      </c>
      <c r="P60" s="62">
        <v>0</v>
      </c>
      <c r="Q60" s="63">
        <f>DIV_B!BS61</f>
        <v>56.333333333333336</v>
      </c>
      <c r="R60" s="100" t="str">
        <f>DIV_B!BT61</f>
        <v>GRADE II</v>
      </c>
    </row>
    <row r="61" spans="1:18" ht="15.95" customHeight="1" x14ac:dyDescent="0.25">
      <c r="A61" s="1">
        <v>57</v>
      </c>
      <c r="B61" s="12" t="s">
        <v>65</v>
      </c>
      <c r="C61" s="62">
        <f>DIV_B!I62</f>
        <v>35</v>
      </c>
      <c r="D61" s="62"/>
      <c r="E61" s="62">
        <f>DIV_B!Q62</f>
        <v>35</v>
      </c>
      <c r="F61" s="62"/>
      <c r="G61" s="62">
        <f>DIV_B!Y62</f>
        <v>46</v>
      </c>
      <c r="H61" s="62"/>
      <c r="I61" s="62">
        <f>DIV_B!AG62</f>
        <v>29</v>
      </c>
      <c r="J61" s="62">
        <v>6</v>
      </c>
      <c r="K61" s="62">
        <f>DIV_B!AO62</f>
        <v>35</v>
      </c>
      <c r="L61" s="62"/>
      <c r="M61" s="62">
        <f>DIV_B!BE62</f>
        <v>26</v>
      </c>
      <c r="N61" s="62">
        <v>9</v>
      </c>
      <c r="O61" s="62">
        <f>DIV_B!BR62</f>
        <v>206</v>
      </c>
      <c r="P61" s="62">
        <v>15</v>
      </c>
      <c r="Q61" s="63">
        <f>DIV_B!BS62</f>
        <v>34.333333333333336</v>
      </c>
      <c r="R61" s="100" t="str">
        <f>DIV_B!BT62</f>
        <v>PROMOTED</v>
      </c>
    </row>
    <row r="62" spans="1:18" ht="15.95" customHeight="1" x14ac:dyDescent="0.25">
      <c r="A62" s="1">
        <v>58</v>
      </c>
      <c r="B62" s="12" t="s">
        <v>66</v>
      </c>
      <c r="C62" s="62">
        <f>DIV_B!I63</f>
        <v>50</v>
      </c>
      <c r="D62" s="62"/>
      <c r="E62" s="62">
        <f>DIV_B!Q63</f>
        <v>33</v>
      </c>
      <c r="F62" s="62">
        <v>2</v>
      </c>
      <c r="G62" s="62">
        <f>DIV_B!Y63</f>
        <v>50</v>
      </c>
      <c r="H62" s="62"/>
      <c r="I62" s="62">
        <f>DIV_B!AG63</f>
        <v>37</v>
      </c>
      <c r="J62" s="62"/>
      <c r="K62" s="62">
        <f>DIV_B!AO63</f>
        <v>49</v>
      </c>
      <c r="L62" s="62"/>
      <c r="M62" s="62">
        <f>DIV_B!BE63</f>
        <v>34</v>
      </c>
      <c r="N62" s="62">
        <v>1</v>
      </c>
      <c r="O62" s="62">
        <f>DIV_B!BR63</f>
        <v>253</v>
      </c>
      <c r="P62" s="62">
        <v>3</v>
      </c>
      <c r="Q62" s="63">
        <f>DIV_B!BS63</f>
        <v>42.166666666666664</v>
      </c>
      <c r="R62" s="100" t="str">
        <f>DIV_B!BT63</f>
        <v>PROMOTED</v>
      </c>
    </row>
    <row r="63" spans="1:18" ht="15.95" customHeight="1" x14ac:dyDescent="0.25">
      <c r="A63" s="1">
        <v>59</v>
      </c>
      <c r="B63" s="12" t="s">
        <v>67</v>
      </c>
      <c r="C63" s="62">
        <f>DIV_B!I64</f>
        <v>48</v>
      </c>
      <c r="D63" s="62"/>
      <c r="E63" s="62">
        <f>DIV_B!Q64</f>
        <v>50</v>
      </c>
      <c r="F63" s="62"/>
      <c r="G63" s="62">
        <f>DIV_B!Y64</f>
        <v>62</v>
      </c>
      <c r="H63" s="62"/>
      <c r="I63" s="62">
        <f>DIV_B!AG64</f>
        <v>54</v>
      </c>
      <c r="J63" s="62"/>
      <c r="K63" s="62">
        <f>DIV_B!AO64</f>
        <v>53</v>
      </c>
      <c r="L63" s="62"/>
      <c r="M63" s="62">
        <f>DIV_B!BE64</f>
        <v>36</v>
      </c>
      <c r="N63" s="62"/>
      <c r="O63" s="62">
        <f>DIV_B!BR64</f>
        <v>303</v>
      </c>
      <c r="P63" s="62">
        <v>0</v>
      </c>
      <c r="Q63" s="63">
        <f>DIV_B!BS64</f>
        <v>50.5</v>
      </c>
      <c r="R63" s="100" t="str">
        <f>DIV_B!BT64</f>
        <v>GRADE II</v>
      </c>
    </row>
    <row r="64" spans="1:18" ht="15.95" customHeight="1" x14ac:dyDescent="0.25">
      <c r="A64" s="1">
        <v>60</v>
      </c>
      <c r="B64" s="12" t="s">
        <v>68</v>
      </c>
      <c r="C64" s="62">
        <f>DIV_B!I65</f>
        <v>49</v>
      </c>
      <c r="D64" s="62"/>
      <c r="E64" s="62">
        <f>DIV_B!Q65</f>
        <v>50</v>
      </c>
      <c r="F64" s="62"/>
      <c r="G64" s="62">
        <f>DIV_B!Y65</f>
        <v>55</v>
      </c>
      <c r="H64" s="62"/>
      <c r="I64" s="62">
        <f>DIV_B!AG65</f>
        <v>53</v>
      </c>
      <c r="J64" s="62"/>
      <c r="K64" s="62">
        <f>DIV_B!AO65</f>
        <v>54</v>
      </c>
      <c r="L64" s="62"/>
      <c r="M64" s="62">
        <f>DIV_B!BE65</f>
        <v>36</v>
      </c>
      <c r="N64" s="62"/>
      <c r="O64" s="62">
        <f>DIV_B!BR65</f>
        <v>297</v>
      </c>
      <c r="P64" s="62">
        <v>0</v>
      </c>
      <c r="Q64" s="63">
        <f>DIV_B!BS65</f>
        <v>49.5</v>
      </c>
      <c r="R64" s="100" t="str">
        <f>DIV_B!BT65</f>
        <v>GRADE II</v>
      </c>
    </row>
    <row r="65" spans="1:18" ht="15.95" customHeight="1" x14ac:dyDescent="0.25">
      <c r="A65" s="1">
        <v>61</v>
      </c>
      <c r="B65" s="12" t="s">
        <v>69</v>
      </c>
      <c r="C65" s="62">
        <f>DIV_B!I66</f>
        <v>58</v>
      </c>
      <c r="D65" s="62"/>
      <c r="E65" s="62">
        <f>DIV_B!Q66</f>
        <v>53</v>
      </c>
      <c r="F65" s="62"/>
      <c r="G65" s="62">
        <f>DIV_B!Y66</f>
        <v>65</v>
      </c>
      <c r="H65" s="62"/>
      <c r="I65" s="62">
        <f>DIV_B!AG66</f>
        <v>56</v>
      </c>
      <c r="J65" s="62"/>
      <c r="K65" s="62">
        <f>DIV_B!AO66</f>
        <v>51</v>
      </c>
      <c r="L65" s="62"/>
      <c r="M65" s="62">
        <f>DIV_B!BE66</f>
        <v>37</v>
      </c>
      <c r="N65" s="62"/>
      <c r="O65" s="62">
        <f>DIV_B!BR66</f>
        <v>320</v>
      </c>
      <c r="P65" s="62">
        <v>0</v>
      </c>
      <c r="Q65" s="63">
        <f>DIV_B!BS66</f>
        <v>53.333333333333336</v>
      </c>
      <c r="R65" s="100" t="str">
        <f>DIV_B!BT66</f>
        <v>GRADE II</v>
      </c>
    </row>
    <row r="66" spans="1:18" ht="15.95" customHeight="1" x14ac:dyDescent="0.25">
      <c r="A66" s="1">
        <v>62</v>
      </c>
      <c r="B66" s="12" t="s">
        <v>70</v>
      </c>
      <c r="C66" s="62">
        <f>DIV_B!I67</f>
        <v>62</v>
      </c>
      <c r="D66" s="62"/>
      <c r="E66" s="62">
        <f>DIV_B!Q67</f>
        <v>58</v>
      </c>
      <c r="F66" s="62"/>
      <c r="G66" s="62">
        <f>DIV_B!Y67</f>
        <v>68</v>
      </c>
      <c r="H66" s="62"/>
      <c r="I66" s="62">
        <f>DIV_B!AG67</f>
        <v>46</v>
      </c>
      <c r="J66" s="62"/>
      <c r="K66" s="62">
        <f>DIV_B!AO67</f>
        <v>59</v>
      </c>
      <c r="L66" s="62"/>
      <c r="M66" s="62">
        <f>DIV_B!BE67</f>
        <v>61</v>
      </c>
      <c r="N66" s="62"/>
      <c r="O66" s="62">
        <f>DIV_B!BR67</f>
        <v>354</v>
      </c>
      <c r="P66" s="62">
        <v>0</v>
      </c>
      <c r="Q66" s="63">
        <f>DIV_B!BS67</f>
        <v>59</v>
      </c>
      <c r="R66" s="100" t="str">
        <f>DIV_B!BT67</f>
        <v>GRADE II</v>
      </c>
    </row>
    <row r="67" spans="1:18" ht="15.95" customHeight="1" x14ac:dyDescent="0.25">
      <c r="A67" s="1">
        <v>63</v>
      </c>
      <c r="B67" s="12" t="s">
        <v>71</v>
      </c>
      <c r="C67" s="62">
        <f>DIV_B!I68</f>
        <v>52</v>
      </c>
      <c r="D67" s="62"/>
      <c r="E67" s="62">
        <f>DIV_B!Q68</f>
        <v>57</v>
      </c>
      <c r="F67" s="62"/>
      <c r="G67" s="62">
        <f>DIV_B!Y68</f>
        <v>67</v>
      </c>
      <c r="H67" s="62"/>
      <c r="I67" s="62">
        <f>DIV_B!AG68</f>
        <v>56</v>
      </c>
      <c r="J67" s="62"/>
      <c r="K67" s="62">
        <f>DIV_B!AO68</f>
        <v>64</v>
      </c>
      <c r="L67" s="62"/>
      <c r="M67" s="62">
        <f>DIV_B!BE68</f>
        <v>43</v>
      </c>
      <c r="N67" s="62"/>
      <c r="O67" s="62">
        <f>DIV_B!BR68</f>
        <v>339</v>
      </c>
      <c r="P67" s="62">
        <v>0</v>
      </c>
      <c r="Q67" s="63">
        <f>DIV_B!BS68</f>
        <v>56.5</v>
      </c>
      <c r="R67" s="100" t="str">
        <f>DIV_B!BT68</f>
        <v>GRADE II</v>
      </c>
    </row>
    <row r="68" spans="1:18" ht="15.95" customHeight="1" x14ac:dyDescent="0.25">
      <c r="A68" s="1">
        <v>64</v>
      </c>
      <c r="B68" s="12" t="s">
        <v>72</v>
      </c>
      <c r="C68" s="62">
        <f>DIV_B!I69</f>
        <v>67</v>
      </c>
      <c r="D68" s="62"/>
      <c r="E68" s="62">
        <f>DIV_B!Q69</f>
        <v>57</v>
      </c>
      <c r="F68" s="62"/>
      <c r="G68" s="62">
        <f>DIV_B!Y69</f>
        <v>77</v>
      </c>
      <c r="H68" s="62"/>
      <c r="I68" s="62">
        <f>DIV_B!AG69</f>
        <v>48</v>
      </c>
      <c r="J68" s="62"/>
      <c r="K68" s="62">
        <f>DIV_B!AO69</f>
        <v>75</v>
      </c>
      <c r="L68" s="62"/>
      <c r="M68" s="62">
        <f>DIV_B!BE69</f>
        <v>59</v>
      </c>
      <c r="N68" s="62"/>
      <c r="O68" s="62">
        <f>DIV_B!BR69</f>
        <v>383</v>
      </c>
      <c r="P68" s="62">
        <v>0</v>
      </c>
      <c r="Q68" s="63">
        <f>DIV_B!BS69</f>
        <v>63.833333333333336</v>
      </c>
      <c r="R68" s="100" t="str">
        <f>DIV_B!BT69</f>
        <v>GRADE I</v>
      </c>
    </row>
    <row r="69" spans="1:18" ht="15.95" customHeight="1" x14ac:dyDescent="0.25">
      <c r="A69" s="1">
        <v>65</v>
      </c>
      <c r="B69" s="12" t="s">
        <v>73</v>
      </c>
      <c r="C69" s="62">
        <f>DIV_B!I70</f>
        <v>60</v>
      </c>
      <c r="D69" s="62"/>
      <c r="E69" s="62">
        <f>DIV_B!Q70</f>
        <v>57</v>
      </c>
      <c r="F69" s="62"/>
      <c r="G69" s="62">
        <f>DIV_B!Y70</f>
        <v>62</v>
      </c>
      <c r="H69" s="62"/>
      <c r="I69" s="62">
        <f>DIV_B!AG70</f>
        <v>46</v>
      </c>
      <c r="J69" s="62"/>
      <c r="K69" s="62">
        <f>DIV_B!AO70</f>
        <v>61</v>
      </c>
      <c r="L69" s="62"/>
      <c r="M69" s="62">
        <f>DIV_B!BE70</f>
        <v>64</v>
      </c>
      <c r="N69" s="62"/>
      <c r="O69" s="62">
        <f>DIV_B!BR70</f>
        <v>350</v>
      </c>
      <c r="P69" s="62">
        <v>0</v>
      </c>
      <c r="Q69" s="63">
        <f>DIV_B!BS70</f>
        <v>58.333333333333336</v>
      </c>
      <c r="R69" s="100" t="str">
        <f>DIV_B!BT70</f>
        <v>GRADE II</v>
      </c>
    </row>
    <row r="70" spans="1:18" ht="15.95" customHeight="1" x14ac:dyDescent="0.25">
      <c r="A70" s="1">
        <v>66</v>
      </c>
      <c r="B70" s="12" t="s">
        <v>74</v>
      </c>
      <c r="C70" s="62">
        <f>DIV_B!I71</f>
        <v>56</v>
      </c>
      <c r="D70" s="62"/>
      <c r="E70" s="62">
        <f>DIV_B!Q71</f>
        <v>46</v>
      </c>
      <c r="F70" s="62"/>
      <c r="G70" s="62">
        <f>DIV_B!Y71</f>
        <v>66</v>
      </c>
      <c r="H70" s="62"/>
      <c r="I70" s="62">
        <f>DIV_B!AG71</f>
        <v>49</v>
      </c>
      <c r="J70" s="62"/>
      <c r="K70" s="62">
        <f>DIV_B!AO71</f>
        <v>65</v>
      </c>
      <c r="L70" s="62"/>
      <c r="M70" s="62">
        <f>DIV_B!BE71</f>
        <v>35</v>
      </c>
      <c r="N70" s="62"/>
      <c r="O70" s="62">
        <f>DIV_B!BR71</f>
        <v>317</v>
      </c>
      <c r="P70" s="62">
        <v>0</v>
      </c>
      <c r="Q70" s="63">
        <f>DIV_B!BS71</f>
        <v>52.833333333333336</v>
      </c>
      <c r="R70" s="100" t="str">
        <f>DIV_B!BT71</f>
        <v>GRADE II</v>
      </c>
    </row>
    <row r="71" spans="1:18" ht="15.95" customHeight="1" x14ac:dyDescent="0.25">
      <c r="A71" s="1">
        <v>67</v>
      </c>
      <c r="B71" s="12" t="s">
        <v>75</v>
      </c>
      <c r="C71" s="62">
        <f>DIV_B!I72</f>
        <v>55</v>
      </c>
      <c r="D71" s="62"/>
      <c r="E71" s="62">
        <f>DIV_B!Q72</f>
        <v>58</v>
      </c>
      <c r="F71" s="62"/>
      <c r="G71" s="62">
        <f>DIV_B!Y72</f>
        <v>53</v>
      </c>
      <c r="H71" s="62"/>
      <c r="I71" s="62">
        <f>DIV_B!AG72</f>
        <v>39</v>
      </c>
      <c r="J71" s="62"/>
      <c r="K71" s="62">
        <f>DIV_B!AO72</f>
        <v>62</v>
      </c>
      <c r="L71" s="62"/>
      <c r="M71" s="62">
        <f>DIV_B!BE72</f>
        <v>53</v>
      </c>
      <c r="N71" s="62"/>
      <c r="O71" s="62">
        <f>DIV_B!BR72</f>
        <v>320</v>
      </c>
      <c r="P71" s="62">
        <v>0</v>
      </c>
      <c r="Q71" s="63">
        <f>DIV_B!BS72</f>
        <v>53.333333333333336</v>
      </c>
      <c r="R71" s="100" t="str">
        <f>DIV_B!BT72</f>
        <v>GRADE II</v>
      </c>
    </row>
    <row r="72" spans="1:18" ht="15.95" customHeight="1" x14ac:dyDescent="0.25">
      <c r="A72" s="1">
        <v>68</v>
      </c>
      <c r="B72" s="12" t="s">
        <v>76</v>
      </c>
      <c r="C72" s="62">
        <f>DIV_B!I73</f>
        <v>35</v>
      </c>
      <c r="D72" s="62"/>
      <c r="E72" s="62">
        <f>DIV_B!Q73</f>
        <v>47</v>
      </c>
      <c r="F72" s="62"/>
      <c r="G72" s="62">
        <f>DIV_B!Y73</f>
        <v>46</v>
      </c>
      <c r="H72" s="62"/>
      <c r="I72" s="62">
        <f>DIV_B!AG73</f>
        <v>28</v>
      </c>
      <c r="J72" s="62">
        <v>7</v>
      </c>
      <c r="K72" s="62">
        <f>DIV_B!AO73</f>
        <v>49</v>
      </c>
      <c r="L72" s="62"/>
      <c r="M72" s="62">
        <f>DIV_B!BE73</f>
        <v>27</v>
      </c>
      <c r="N72" s="62">
        <v>8</v>
      </c>
      <c r="O72" s="62">
        <f>DIV_B!BR73</f>
        <v>232</v>
      </c>
      <c r="P72" s="62">
        <v>15</v>
      </c>
      <c r="Q72" s="63">
        <f>DIV_B!BS73</f>
        <v>38.666666666666664</v>
      </c>
      <c r="R72" s="100" t="str">
        <f>DIV_B!BT73</f>
        <v>PROMOTED</v>
      </c>
    </row>
    <row r="73" spans="1:18" ht="15.95" customHeight="1" x14ac:dyDescent="0.25">
      <c r="A73" s="1">
        <v>69</v>
      </c>
      <c r="B73" s="12" t="s">
        <v>77</v>
      </c>
      <c r="C73" s="62">
        <f>DIV_B!I74</f>
        <v>49</v>
      </c>
      <c r="D73" s="62"/>
      <c r="E73" s="62">
        <f>DIV_B!Q74</f>
        <v>64</v>
      </c>
      <c r="F73" s="62"/>
      <c r="G73" s="62">
        <f>DIV_B!Y74</f>
        <v>64</v>
      </c>
      <c r="H73" s="62"/>
      <c r="I73" s="62">
        <f>DIV_B!AG74</f>
        <v>55</v>
      </c>
      <c r="J73" s="62"/>
      <c r="K73" s="62">
        <f>DIV_B!AO74</f>
        <v>66</v>
      </c>
      <c r="L73" s="62"/>
      <c r="M73" s="62">
        <f>DIV_B!BE74</f>
        <v>48</v>
      </c>
      <c r="N73" s="62"/>
      <c r="O73" s="62">
        <f>DIV_B!BR74</f>
        <v>346</v>
      </c>
      <c r="P73" s="62">
        <v>0</v>
      </c>
      <c r="Q73" s="63">
        <f>DIV_B!BS74</f>
        <v>57.666666666666664</v>
      </c>
      <c r="R73" s="100" t="str">
        <f>DIV_B!BT74</f>
        <v>GRADE II</v>
      </c>
    </row>
    <row r="74" spans="1:18" ht="15.95" customHeight="1" x14ac:dyDescent="0.25">
      <c r="A74" s="1">
        <v>70</v>
      </c>
      <c r="B74" s="12" t="s">
        <v>78</v>
      </c>
      <c r="C74" s="62">
        <f>DIV_B!I75</f>
        <v>54</v>
      </c>
      <c r="D74" s="62"/>
      <c r="E74" s="62">
        <f>DIV_B!Q75</f>
        <v>52</v>
      </c>
      <c r="F74" s="62"/>
      <c r="G74" s="62">
        <f>DIV_B!Y75</f>
        <v>63</v>
      </c>
      <c r="H74" s="62"/>
      <c r="I74" s="62">
        <f>DIV_B!AG75</f>
        <v>41</v>
      </c>
      <c r="J74" s="62"/>
      <c r="K74" s="62">
        <f>DIV_B!AO75</f>
        <v>60</v>
      </c>
      <c r="L74" s="62"/>
      <c r="M74" s="62">
        <f>DIV_B!BE75</f>
        <v>35</v>
      </c>
      <c r="N74" s="62"/>
      <c r="O74" s="62">
        <f>DIV_B!BR75</f>
        <v>305</v>
      </c>
      <c r="P74" s="62">
        <v>0</v>
      </c>
      <c r="Q74" s="63">
        <f>DIV_B!BS75</f>
        <v>50.833333333333336</v>
      </c>
      <c r="R74" s="100" t="str">
        <f>DIV_B!BT75</f>
        <v>GRADE II</v>
      </c>
    </row>
    <row r="75" spans="1:18" ht="15.95" customHeight="1" x14ac:dyDescent="0.25">
      <c r="A75" s="1">
        <v>71</v>
      </c>
      <c r="B75" s="12" t="s">
        <v>79</v>
      </c>
      <c r="C75" s="62">
        <f>DIV_B!I76</f>
        <v>38</v>
      </c>
      <c r="D75" s="62"/>
      <c r="E75" s="62">
        <f>DIV_B!Q76</f>
        <v>43</v>
      </c>
      <c r="F75" s="62"/>
      <c r="G75" s="62">
        <f>DIV_B!Y76</f>
        <v>32</v>
      </c>
      <c r="H75" s="62">
        <v>3</v>
      </c>
      <c r="I75" s="62">
        <f>DIV_B!AG76</f>
        <v>39</v>
      </c>
      <c r="J75" s="62"/>
      <c r="K75" s="62">
        <f>DIV_B!AO76</f>
        <v>33</v>
      </c>
      <c r="L75" s="62">
        <v>2</v>
      </c>
      <c r="M75" s="62">
        <f>DIV_B!BE76</f>
        <v>25</v>
      </c>
      <c r="N75" s="62">
        <v>10</v>
      </c>
      <c r="O75" s="62">
        <f>DIV_B!BR76</f>
        <v>210</v>
      </c>
      <c r="P75" s="62">
        <v>15</v>
      </c>
      <c r="Q75" s="63">
        <f>DIV_B!BS76</f>
        <v>35</v>
      </c>
      <c r="R75" s="100" t="str">
        <f>DIV_B!BT76</f>
        <v>PROMOTED</v>
      </c>
    </row>
    <row r="76" spans="1:18" ht="15.95" customHeight="1" x14ac:dyDescent="0.25">
      <c r="A76" s="1">
        <v>72</v>
      </c>
      <c r="B76" s="12" t="s">
        <v>80</v>
      </c>
      <c r="C76" s="62">
        <f>DIV_B!I77</f>
        <v>45</v>
      </c>
      <c r="D76" s="62"/>
      <c r="E76" s="62">
        <f>DIV_B!Q77</f>
        <v>45</v>
      </c>
      <c r="F76" s="62"/>
      <c r="G76" s="62">
        <f>DIV_B!Y77</f>
        <v>47</v>
      </c>
      <c r="H76" s="62"/>
      <c r="I76" s="62">
        <f>DIV_B!AG77</f>
        <v>48</v>
      </c>
      <c r="J76" s="62"/>
      <c r="K76" s="62">
        <f>DIV_B!AO77</f>
        <v>44</v>
      </c>
      <c r="L76" s="62"/>
      <c r="M76" s="62">
        <f>DIV_B!BE77</f>
        <v>30</v>
      </c>
      <c r="N76" s="62">
        <v>5</v>
      </c>
      <c r="O76" s="62">
        <f>DIV_B!BR77</f>
        <v>259</v>
      </c>
      <c r="P76" s="62">
        <v>5</v>
      </c>
      <c r="Q76" s="63">
        <f>DIV_B!BS77</f>
        <v>43.166666666666664</v>
      </c>
      <c r="R76" s="100" t="str">
        <f>DIV_B!BT77</f>
        <v>PROMOTED</v>
      </c>
    </row>
    <row r="77" spans="1:18" ht="15.95" customHeight="1" x14ac:dyDescent="0.25">
      <c r="A77" s="1">
        <v>73</v>
      </c>
      <c r="B77" s="12" t="s">
        <v>81</v>
      </c>
      <c r="C77" s="62">
        <f>DIV_B!I78</f>
        <v>60</v>
      </c>
      <c r="D77" s="62"/>
      <c r="E77" s="62">
        <f>DIV_B!Q78</f>
        <v>63</v>
      </c>
      <c r="F77" s="62"/>
      <c r="G77" s="62">
        <f>DIV_B!Y78</f>
        <v>70</v>
      </c>
      <c r="H77" s="62"/>
      <c r="I77" s="62">
        <f>DIV_B!AG78</f>
        <v>54</v>
      </c>
      <c r="J77" s="62"/>
      <c r="K77" s="62">
        <f>DIV_B!AO78</f>
        <v>68</v>
      </c>
      <c r="L77" s="62"/>
      <c r="M77" s="62">
        <f>DIV_B!BE78</f>
        <v>36</v>
      </c>
      <c r="N77" s="62"/>
      <c r="O77" s="62">
        <f>DIV_B!BR78</f>
        <v>351</v>
      </c>
      <c r="P77" s="62">
        <v>0</v>
      </c>
      <c r="Q77" s="63">
        <f>DIV_B!BS78</f>
        <v>58.5</v>
      </c>
      <c r="R77" s="100" t="str">
        <f>DIV_B!BT78</f>
        <v>GRADE II</v>
      </c>
    </row>
    <row r="78" spans="1:18" ht="15.95" customHeight="1" x14ac:dyDescent="0.25">
      <c r="A78" s="1">
        <v>74</v>
      </c>
      <c r="B78" s="12" t="s">
        <v>82</v>
      </c>
      <c r="C78" s="62">
        <f>DIV_B!I79</f>
        <v>50</v>
      </c>
      <c r="D78" s="62"/>
      <c r="E78" s="62">
        <f>DIV_B!Q79</f>
        <v>48</v>
      </c>
      <c r="F78" s="62"/>
      <c r="G78" s="62">
        <f>DIV_B!Y79</f>
        <v>71</v>
      </c>
      <c r="H78" s="62"/>
      <c r="I78" s="62">
        <f>DIV_B!AG79</f>
        <v>44</v>
      </c>
      <c r="J78" s="62"/>
      <c r="K78" s="62">
        <f>DIV_B!AO79</f>
        <v>60</v>
      </c>
      <c r="L78" s="62"/>
      <c r="M78" s="62">
        <f>DIV_B!BE79</f>
        <v>39</v>
      </c>
      <c r="N78" s="62"/>
      <c r="O78" s="62">
        <f>DIV_B!BR79</f>
        <v>312</v>
      </c>
      <c r="P78" s="62">
        <v>0</v>
      </c>
      <c r="Q78" s="63">
        <f>DIV_B!BS79</f>
        <v>52</v>
      </c>
      <c r="R78" s="100" t="str">
        <f>DIV_B!BT79</f>
        <v>GRADE II</v>
      </c>
    </row>
    <row r="79" spans="1:18" ht="15.95" customHeight="1" x14ac:dyDescent="0.25">
      <c r="A79" s="1">
        <v>75</v>
      </c>
      <c r="B79" s="12" t="s">
        <v>83</v>
      </c>
      <c r="C79" s="62">
        <f>DIV_B!I80</f>
        <v>60</v>
      </c>
      <c r="D79" s="62"/>
      <c r="E79" s="62">
        <f>DIV_B!Q80</f>
        <v>48</v>
      </c>
      <c r="F79" s="62"/>
      <c r="G79" s="62">
        <f>DIV_B!Y80</f>
        <v>61</v>
      </c>
      <c r="H79" s="62"/>
      <c r="I79" s="62">
        <f>DIV_B!AG80</f>
        <v>43</v>
      </c>
      <c r="J79" s="62"/>
      <c r="K79" s="62">
        <f>DIV_B!AO80</f>
        <v>49</v>
      </c>
      <c r="L79" s="62"/>
      <c r="M79" s="62">
        <f>DIV_B!BE80</f>
        <v>26</v>
      </c>
      <c r="N79" s="62">
        <v>9</v>
      </c>
      <c r="O79" s="62">
        <f>DIV_B!BR80</f>
        <v>287</v>
      </c>
      <c r="P79" s="62">
        <v>9</v>
      </c>
      <c r="Q79" s="63">
        <f>DIV_B!BS80</f>
        <v>47.833333333333336</v>
      </c>
      <c r="R79" s="100" t="str">
        <f>DIV_B!BT80</f>
        <v>PROMOTED</v>
      </c>
    </row>
    <row r="80" spans="1:18" ht="15.95" customHeight="1" x14ac:dyDescent="0.25">
      <c r="A80" s="1">
        <v>76</v>
      </c>
      <c r="B80" s="12" t="s">
        <v>84</v>
      </c>
      <c r="C80" s="62">
        <f>DIV_B!I81</f>
        <v>58</v>
      </c>
      <c r="D80" s="62"/>
      <c r="E80" s="62">
        <f>DIV_B!Q81</f>
        <v>45</v>
      </c>
      <c r="F80" s="62"/>
      <c r="G80" s="62">
        <f>DIV_B!Y81</f>
        <v>62</v>
      </c>
      <c r="H80" s="62"/>
      <c r="I80" s="62">
        <f>DIV_B!AG81</f>
        <v>30</v>
      </c>
      <c r="J80" s="62">
        <v>5</v>
      </c>
      <c r="K80" s="62">
        <f>DIV_B!AO81</f>
        <v>48</v>
      </c>
      <c r="L80" s="62"/>
      <c r="M80" s="62">
        <f>DIV_B!BE81</f>
        <v>25</v>
      </c>
      <c r="N80" s="62">
        <v>10</v>
      </c>
      <c r="O80" s="62">
        <f>DIV_B!BR81</f>
        <v>268</v>
      </c>
      <c r="P80" s="62">
        <v>15</v>
      </c>
      <c r="Q80" s="63">
        <f>DIV_B!BS81</f>
        <v>44.666666666666664</v>
      </c>
      <c r="R80" s="100" t="str">
        <f>DIV_B!BT81</f>
        <v>PROMOTED</v>
      </c>
    </row>
    <row r="81" spans="1:18" ht="15.95" customHeight="1" x14ac:dyDescent="0.25">
      <c r="A81" s="1">
        <v>77</v>
      </c>
      <c r="B81" s="12" t="s">
        <v>85</v>
      </c>
      <c r="C81" s="62">
        <f>DIV_B!I82</f>
        <v>52</v>
      </c>
      <c r="D81" s="62"/>
      <c r="E81" s="62">
        <f>DIV_B!Q82</f>
        <v>39</v>
      </c>
      <c r="F81" s="62"/>
      <c r="G81" s="62">
        <f>DIV_B!Y82</f>
        <v>33</v>
      </c>
      <c r="H81" s="62">
        <v>2</v>
      </c>
      <c r="I81" s="62">
        <f>DIV_B!AG82</f>
        <v>32</v>
      </c>
      <c r="J81" s="62">
        <v>3</v>
      </c>
      <c r="K81" s="62">
        <f>DIV_B!AO82</f>
        <v>37</v>
      </c>
      <c r="L81" s="62"/>
      <c r="M81" s="62">
        <f>DIV_B!BE82</f>
        <v>25</v>
      </c>
      <c r="N81" s="62">
        <v>10</v>
      </c>
      <c r="O81" s="62">
        <f>DIV_B!BR82</f>
        <v>218</v>
      </c>
      <c r="P81" s="62">
        <v>15</v>
      </c>
      <c r="Q81" s="63">
        <f>DIV_B!BS82</f>
        <v>36.333333333333336</v>
      </c>
      <c r="R81" s="100" t="str">
        <f>DIV_B!BT82</f>
        <v>PROMOTED</v>
      </c>
    </row>
    <row r="82" spans="1:18" ht="15.95" customHeight="1" x14ac:dyDescent="0.25">
      <c r="A82" s="1">
        <v>78</v>
      </c>
      <c r="B82" s="12" t="s">
        <v>86</v>
      </c>
      <c r="C82" s="62">
        <f>DIV_B!I83</f>
        <v>51</v>
      </c>
      <c r="D82" s="62"/>
      <c r="E82" s="62">
        <f>DIV_B!Q83</f>
        <v>52</v>
      </c>
      <c r="F82" s="62"/>
      <c r="G82" s="62">
        <f>DIV_B!Y83</f>
        <v>59</v>
      </c>
      <c r="H82" s="62"/>
      <c r="I82" s="62">
        <f>DIV_B!AG83</f>
        <v>42</v>
      </c>
      <c r="J82" s="62"/>
      <c r="K82" s="62">
        <f>DIV_B!AO83</f>
        <v>61</v>
      </c>
      <c r="L82" s="62"/>
      <c r="M82" s="62">
        <f>DIV_B!BE83</f>
        <v>30</v>
      </c>
      <c r="N82" s="62">
        <v>5</v>
      </c>
      <c r="O82" s="62">
        <f>DIV_B!BR83</f>
        <v>295</v>
      </c>
      <c r="P82" s="62">
        <v>5</v>
      </c>
      <c r="Q82" s="63">
        <f>DIV_B!BS83</f>
        <v>49.166666666666664</v>
      </c>
      <c r="R82" s="100" t="str">
        <f>DIV_B!BT83</f>
        <v>PROMOTED</v>
      </c>
    </row>
    <row r="83" spans="1:18" ht="15.95" customHeight="1" x14ac:dyDescent="0.25">
      <c r="A83" s="1">
        <v>79</v>
      </c>
      <c r="B83" s="12" t="s">
        <v>87</v>
      </c>
      <c r="C83" s="62">
        <f>DIV_B!I84</f>
        <v>46</v>
      </c>
      <c r="D83" s="62"/>
      <c r="E83" s="62">
        <f>DIV_B!Q84</f>
        <v>56</v>
      </c>
      <c r="F83" s="62"/>
      <c r="G83" s="62">
        <f>DIV_B!Y84</f>
        <v>69</v>
      </c>
      <c r="H83" s="62"/>
      <c r="I83" s="62">
        <f>DIV_B!AG84</f>
        <v>54</v>
      </c>
      <c r="J83" s="62"/>
      <c r="K83" s="62">
        <f>DIV_B!AO84</f>
        <v>67</v>
      </c>
      <c r="L83" s="62"/>
      <c r="M83" s="62">
        <f>DIV_B!BE84</f>
        <v>42</v>
      </c>
      <c r="N83" s="62"/>
      <c r="O83" s="62">
        <f>DIV_B!BR84</f>
        <v>334</v>
      </c>
      <c r="P83" s="62">
        <v>0</v>
      </c>
      <c r="Q83" s="63">
        <f>DIV_B!BS84</f>
        <v>55.666666666666664</v>
      </c>
      <c r="R83" s="100" t="str">
        <f>DIV_B!BT84</f>
        <v>GRADE II</v>
      </c>
    </row>
    <row r="84" spans="1:18" ht="15.95" customHeight="1" x14ac:dyDescent="0.25">
      <c r="A84" s="1">
        <v>80</v>
      </c>
      <c r="B84" s="12" t="s">
        <v>88</v>
      </c>
      <c r="C84" s="62">
        <f>DIV_B!I85</f>
        <v>53</v>
      </c>
      <c r="D84" s="62"/>
      <c r="E84" s="62">
        <f>DIV_B!Q85</f>
        <v>58</v>
      </c>
      <c r="F84" s="62"/>
      <c r="G84" s="62">
        <f>DIV_B!Y85</f>
        <v>76</v>
      </c>
      <c r="H84" s="62"/>
      <c r="I84" s="62">
        <f>DIV_B!AG85</f>
        <v>62</v>
      </c>
      <c r="J84" s="62"/>
      <c r="K84" s="62">
        <f>DIV_B!AO85</f>
        <v>66</v>
      </c>
      <c r="L84" s="62"/>
      <c r="M84" s="62">
        <f>DIV_B!BE85</f>
        <v>61</v>
      </c>
      <c r="N84" s="62"/>
      <c r="O84" s="62">
        <f>DIV_B!BR85</f>
        <v>376</v>
      </c>
      <c r="P84" s="62">
        <v>0</v>
      </c>
      <c r="Q84" s="63">
        <f>DIV_B!BS85</f>
        <v>62.666666666666664</v>
      </c>
      <c r="R84" s="100" t="str">
        <f>DIV_B!BT85</f>
        <v>GRADE I</v>
      </c>
    </row>
    <row r="85" spans="1:18" ht="15.95" customHeight="1" x14ac:dyDescent="0.25">
      <c r="A85" s="1">
        <v>81</v>
      </c>
      <c r="B85" s="12" t="s">
        <v>89</v>
      </c>
      <c r="C85" s="62">
        <f>DIV_B!I86</f>
        <v>55</v>
      </c>
      <c r="D85" s="62"/>
      <c r="E85" s="62">
        <f>DIV_B!Q86</f>
        <v>47</v>
      </c>
      <c r="F85" s="62"/>
      <c r="G85" s="62">
        <f>DIV_B!Y86</f>
        <v>65</v>
      </c>
      <c r="H85" s="62"/>
      <c r="I85" s="62">
        <f>DIV_B!AG86</f>
        <v>58</v>
      </c>
      <c r="J85" s="62"/>
      <c r="K85" s="62">
        <f>DIV_B!AO86</f>
        <v>63</v>
      </c>
      <c r="L85" s="62"/>
      <c r="M85" s="62">
        <f>DIV_B!BE86</f>
        <v>45</v>
      </c>
      <c r="N85" s="62"/>
      <c r="O85" s="62">
        <f>DIV_B!BR86</f>
        <v>333</v>
      </c>
      <c r="P85" s="62">
        <v>0</v>
      </c>
      <c r="Q85" s="63">
        <f>DIV_B!BS86</f>
        <v>55.5</v>
      </c>
      <c r="R85" s="100" t="str">
        <f>DIV_B!BT86</f>
        <v>GRADE II</v>
      </c>
    </row>
    <row r="86" spans="1:18" ht="15.95" customHeight="1" x14ac:dyDescent="0.25">
      <c r="A86" s="1">
        <v>82</v>
      </c>
      <c r="B86" s="12" t="s">
        <v>90</v>
      </c>
      <c r="C86" s="62">
        <f>DIV_B!I87</f>
        <v>45</v>
      </c>
      <c r="D86" s="62"/>
      <c r="E86" s="62">
        <f>DIV_B!Q87</f>
        <v>37</v>
      </c>
      <c r="F86" s="62"/>
      <c r="G86" s="62">
        <f>DIV_B!Y87</f>
        <v>54</v>
      </c>
      <c r="H86" s="62"/>
      <c r="I86" s="62">
        <f>DIV_B!AG87</f>
        <v>38</v>
      </c>
      <c r="J86" s="62"/>
      <c r="K86" s="62">
        <f>DIV_B!AO87</f>
        <v>34</v>
      </c>
      <c r="L86" s="62">
        <v>1</v>
      </c>
      <c r="M86" s="62">
        <f>DIV_B!BE87</f>
        <v>31</v>
      </c>
      <c r="N86" s="62">
        <v>4</v>
      </c>
      <c r="O86" s="62">
        <f>DIV_B!BR87</f>
        <v>239</v>
      </c>
      <c r="P86" s="62">
        <v>5</v>
      </c>
      <c r="Q86" s="63">
        <f>DIV_B!BS87</f>
        <v>39.833333333333336</v>
      </c>
      <c r="R86" s="100" t="str">
        <f>DIV_B!BT87</f>
        <v>PROMOTED</v>
      </c>
    </row>
    <row r="87" spans="1:18" ht="15.95" customHeight="1" x14ac:dyDescent="0.25">
      <c r="A87" s="1">
        <v>83</v>
      </c>
      <c r="B87" s="12" t="s">
        <v>91</v>
      </c>
      <c r="C87" s="62">
        <f>DIV_B!I88</f>
        <v>48</v>
      </c>
      <c r="D87" s="62"/>
      <c r="E87" s="62">
        <f>DIV_B!Q88</f>
        <v>25</v>
      </c>
      <c r="F87" s="62">
        <v>10</v>
      </c>
      <c r="G87" s="62">
        <f>DIV_B!Y88</f>
        <v>59</v>
      </c>
      <c r="H87" s="62"/>
      <c r="I87" s="62">
        <f>DIV_B!AG88</f>
        <v>34</v>
      </c>
      <c r="J87" s="62">
        <v>1</v>
      </c>
      <c r="K87" s="62">
        <f>DIV_B!AO88</f>
        <v>50</v>
      </c>
      <c r="L87" s="62"/>
      <c r="M87" s="62">
        <f>DIV_B!BE88</f>
        <v>0</v>
      </c>
      <c r="N87" s="62"/>
      <c r="O87" s="62">
        <f>DIV_B!BR88</f>
        <v>216</v>
      </c>
      <c r="P87" s="62">
        <v>11</v>
      </c>
      <c r="Q87" s="63">
        <f>DIV_B!BS88</f>
        <v>36</v>
      </c>
      <c r="R87" s="100" t="str">
        <f>DIV_B!BT88</f>
        <v>PROMOTED</v>
      </c>
    </row>
    <row r="88" spans="1:18" ht="15.95" customHeight="1" x14ac:dyDescent="0.25">
      <c r="A88" s="1">
        <v>84</v>
      </c>
      <c r="B88" s="12" t="s">
        <v>92</v>
      </c>
      <c r="C88" s="62">
        <f>DIV_B!I89</f>
        <v>39</v>
      </c>
      <c r="D88" s="62"/>
      <c r="E88" s="62">
        <f>DIV_B!Q89</f>
        <v>42</v>
      </c>
      <c r="F88" s="62"/>
      <c r="G88" s="62">
        <f>DIV_B!Y89</f>
        <v>56</v>
      </c>
      <c r="H88" s="62"/>
      <c r="I88" s="62">
        <f>DIV_B!AG89</f>
        <v>34</v>
      </c>
      <c r="J88" s="62">
        <v>1</v>
      </c>
      <c r="K88" s="62">
        <f>DIV_B!AO89</f>
        <v>45</v>
      </c>
      <c r="L88" s="62"/>
      <c r="M88" s="62">
        <f>DIV_B!BE89</f>
        <v>28</v>
      </c>
      <c r="N88" s="62">
        <v>7</v>
      </c>
      <c r="O88" s="62">
        <f>DIV_B!BR89</f>
        <v>244</v>
      </c>
      <c r="P88" s="62">
        <v>8</v>
      </c>
      <c r="Q88" s="63">
        <f>DIV_B!BS89</f>
        <v>40.666666666666664</v>
      </c>
      <c r="R88" s="100" t="str">
        <f>DIV_B!BT89</f>
        <v>PROMOTED</v>
      </c>
    </row>
    <row r="89" spans="1:18" ht="15.95" customHeight="1" x14ac:dyDescent="0.25">
      <c r="A89" s="1">
        <v>85</v>
      </c>
      <c r="B89" s="12" t="s">
        <v>93</v>
      </c>
      <c r="C89" s="62">
        <f>DIV_B!I90</f>
        <v>49</v>
      </c>
      <c r="D89" s="62"/>
      <c r="E89" s="62">
        <f>DIV_B!Q90</f>
        <v>62</v>
      </c>
      <c r="F89" s="62"/>
      <c r="G89" s="62">
        <f>DIV_B!Y90</f>
        <v>84</v>
      </c>
      <c r="H89" s="62"/>
      <c r="I89" s="62">
        <f>DIV_B!AG90</f>
        <v>43</v>
      </c>
      <c r="J89" s="62"/>
      <c r="K89" s="62">
        <f>DIV_B!AO90</f>
        <v>74</v>
      </c>
      <c r="L89" s="62"/>
      <c r="M89" s="62">
        <f>DIV_B!BE90</f>
        <v>52</v>
      </c>
      <c r="N89" s="62"/>
      <c r="O89" s="62">
        <f>DIV_B!BR90</f>
        <v>364</v>
      </c>
      <c r="P89" s="62">
        <v>0</v>
      </c>
      <c r="Q89" s="63">
        <f>DIV_B!BS90</f>
        <v>60.666666666666664</v>
      </c>
      <c r="R89" s="100" t="str">
        <f>DIV_B!BT90</f>
        <v>GRADE I</v>
      </c>
    </row>
    <row r="90" spans="1:18" ht="15.95" customHeight="1" x14ac:dyDescent="0.25">
      <c r="A90" s="1">
        <v>86</v>
      </c>
      <c r="B90" s="12" t="s">
        <v>94</v>
      </c>
      <c r="C90" s="62">
        <f>DIV_B!I91</f>
        <v>48</v>
      </c>
      <c r="D90" s="62"/>
      <c r="E90" s="62">
        <f>DIV_B!Q91</f>
        <v>55</v>
      </c>
      <c r="F90" s="62"/>
      <c r="G90" s="62">
        <f>DIV_B!Y91</f>
        <v>56</v>
      </c>
      <c r="H90" s="62"/>
      <c r="I90" s="62">
        <f>DIV_B!AG91</f>
        <v>39</v>
      </c>
      <c r="J90" s="62"/>
      <c r="K90" s="62">
        <f>DIV_B!AO91</f>
        <v>50</v>
      </c>
      <c r="L90" s="62"/>
      <c r="M90" s="62">
        <f>DIV_B!BE91</f>
        <v>34</v>
      </c>
      <c r="N90" s="62">
        <v>1</v>
      </c>
      <c r="O90" s="62">
        <f>DIV_B!BR91</f>
        <v>282</v>
      </c>
      <c r="P90" s="62">
        <v>1</v>
      </c>
      <c r="Q90" s="63">
        <f>DIV_B!BS91</f>
        <v>47</v>
      </c>
      <c r="R90" s="100" t="str">
        <f>DIV_B!BT91</f>
        <v>PROMOTED</v>
      </c>
    </row>
    <row r="91" spans="1:18" ht="15.95" customHeight="1" x14ac:dyDescent="0.25">
      <c r="A91" s="1">
        <v>87</v>
      </c>
      <c r="B91" s="12" t="s">
        <v>95</v>
      </c>
      <c r="C91" s="62">
        <f>DIV_B!I92</f>
        <v>49</v>
      </c>
      <c r="D91" s="62"/>
      <c r="E91" s="62">
        <f>DIV_B!Q92</f>
        <v>44</v>
      </c>
      <c r="F91" s="62"/>
      <c r="G91" s="62">
        <f>DIV_B!Y92</f>
        <v>52</v>
      </c>
      <c r="H91" s="62"/>
      <c r="I91" s="62">
        <f>DIV_B!AG92</f>
        <v>38</v>
      </c>
      <c r="J91" s="62"/>
      <c r="K91" s="62">
        <f>DIV_B!AO92</f>
        <v>43</v>
      </c>
      <c r="L91" s="62"/>
      <c r="M91" s="62">
        <f>DIV_B!BE92</f>
        <v>25</v>
      </c>
      <c r="N91" s="62">
        <v>10</v>
      </c>
      <c r="O91" s="62">
        <f>DIV_B!BR92</f>
        <v>251</v>
      </c>
      <c r="P91" s="62">
        <v>10</v>
      </c>
      <c r="Q91" s="63">
        <f>DIV_B!BS92</f>
        <v>41.833333333333336</v>
      </c>
      <c r="R91" s="100" t="str">
        <f>DIV_B!BT92</f>
        <v>PROMOTED</v>
      </c>
    </row>
    <row r="92" spans="1:18" ht="15.95" customHeight="1" x14ac:dyDescent="0.25">
      <c r="A92" s="1">
        <v>88</v>
      </c>
      <c r="B92" s="12" t="s">
        <v>96</v>
      </c>
      <c r="C92" s="62">
        <f>DIV_B!I93</f>
        <v>55</v>
      </c>
      <c r="D92" s="62"/>
      <c r="E92" s="62">
        <f>DIV_B!Q93</f>
        <v>54</v>
      </c>
      <c r="F92" s="62"/>
      <c r="G92" s="62">
        <f>DIV_B!Y93</f>
        <v>67</v>
      </c>
      <c r="H92" s="62"/>
      <c r="I92" s="62">
        <f>DIV_B!AG93</f>
        <v>46</v>
      </c>
      <c r="J92" s="62"/>
      <c r="K92" s="62">
        <f>DIV_B!AO93</f>
        <v>61</v>
      </c>
      <c r="L92" s="62"/>
      <c r="M92" s="62">
        <f>DIV_B!BE93</f>
        <v>32</v>
      </c>
      <c r="N92" s="62">
        <v>3</v>
      </c>
      <c r="O92" s="62">
        <f>DIV_B!BR93</f>
        <v>315</v>
      </c>
      <c r="P92" s="62">
        <v>3</v>
      </c>
      <c r="Q92" s="63">
        <f>DIV_B!BS93</f>
        <v>52.5</v>
      </c>
      <c r="R92" s="100" t="str">
        <f>DIV_B!BT93</f>
        <v>PROMOTED</v>
      </c>
    </row>
    <row r="93" spans="1:18" ht="15.95" customHeight="1" x14ac:dyDescent="0.25">
      <c r="A93" s="1">
        <v>89</v>
      </c>
      <c r="B93" s="12" t="s">
        <v>97</v>
      </c>
      <c r="C93" s="62">
        <f>DIV_B!I94</f>
        <v>52</v>
      </c>
      <c r="D93" s="62"/>
      <c r="E93" s="62">
        <f>DIV_B!Q94</f>
        <v>55</v>
      </c>
      <c r="F93" s="62"/>
      <c r="G93" s="62">
        <f>DIV_B!Y94</f>
        <v>65</v>
      </c>
      <c r="H93" s="62"/>
      <c r="I93" s="62">
        <f>DIV_B!AG94</f>
        <v>44</v>
      </c>
      <c r="J93" s="62"/>
      <c r="K93" s="62">
        <f>DIV_B!AO94</f>
        <v>54</v>
      </c>
      <c r="L93" s="62"/>
      <c r="M93" s="62">
        <f>DIV_B!BE94</f>
        <v>38</v>
      </c>
      <c r="N93" s="62"/>
      <c r="O93" s="62">
        <f>DIV_B!BR94</f>
        <v>308</v>
      </c>
      <c r="P93" s="62">
        <v>0</v>
      </c>
      <c r="Q93" s="63">
        <f>DIV_B!BS94</f>
        <v>51.333333333333336</v>
      </c>
      <c r="R93" s="100" t="str">
        <f>DIV_B!BT94</f>
        <v>GRADE II</v>
      </c>
    </row>
    <row r="94" spans="1:18" ht="15.95" customHeight="1" x14ac:dyDescent="0.25">
      <c r="A94" s="1">
        <v>90</v>
      </c>
      <c r="B94" s="12" t="s">
        <v>98</v>
      </c>
      <c r="C94" s="62">
        <f>DIV_B!I95</f>
        <v>55</v>
      </c>
      <c r="D94" s="62"/>
      <c r="E94" s="62">
        <f>DIV_B!Q95</f>
        <v>56</v>
      </c>
      <c r="F94" s="62"/>
      <c r="G94" s="62">
        <f>DIV_B!Y95</f>
        <v>66</v>
      </c>
      <c r="H94" s="62"/>
      <c r="I94" s="62">
        <f>DIV_B!AG95</f>
        <v>48</v>
      </c>
      <c r="J94" s="62"/>
      <c r="K94" s="62">
        <f>DIV_B!AO95</f>
        <v>58</v>
      </c>
      <c r="L94" s="62"/>
      <c r="M94" s="62">
        <f>DIV_B!BE95</f>
        <v>49</v>
      </c>
      <c r="N94" s="62"/>
      <c r="O94" s="62">
        <f>DIV_B!BR95</f>
        <v>332</v>
      </c>
      <c r="P94" s="62">
        <v>0</v>
      </c>
      <c r="Q94" s="63">
        <f>DIV_B!BS95</f>
        <v>55.333333333333336</v>
      </c>
      <c r="R94" s="100" t="str">
        <f>DIV_B!BT95</f>
        <v>GRADE II</v>
      </c>
    </row>
    <row r="95" spans="1:18" ht="15.95" customHeight="1" x14ac:dyDescent="0.25">
      <c r="A95" s="1">
        <v>91</v>
      </c>
      <c r="B95" s="12" t="s">
        <v>99</v>
      </c>
      <c r="C95" s="62">
        <f>DIV_B!I96</f>
        <v>35</v>
      </c>
      <c r="D95" s="62"/>
      <c r="E95" s="62">
        <f>DIV_B!Q96</f>
        <v>42</v>
      </c>
      <c r="F95" s="62"/>
      <c r="G95" s="62">
        <f>DIV_B!Y96</f>
        <v>49</v>
      </c>
      <c r="H95" s="62"/>
      <c r="I95" s="62">
        <f>DIV_B!AG96</f>
        <v>33</v>
      </c>
      <c r="J95" s="62">
        <v>2</v>
      </c>
      <c r="K95" s="62">
        <f>DIV_B!AO96</f>
        <v>47</v>
      </c>
      <c r="L95" s="62"/>
      <c r="M95" s="62">
        <f>DIV_B!BE96</f>
        <v>32</v>
      </c>
      <c r="N95" s="62">
        <v>3</v>
      </c>
      <c r="O95" s="62">
        <f>DIV_B!BR96</f>
        <v>238</v>
      </c>
      <c r="P95" s="62">
        <v>5</v>
      </c>
      <c r="Q95" s="63">
        <f>DIV_B!BS96</f>
        <v>39.666666666666664</v>
      </c>
      <c r="R95" s="100" t="str">
        <f>DIV_B!BT96</f>
        <v>PROMOTED</v>
      </c>
    </row>
    <row r="96" spans="1:18" ht="15.95" customHeight="1" x14ac:dyDescent="0.25">
      <c r="A96" s="1">
        <v>92</v>
      </c>
      <c r="B96" s="12" t="s">
        <v>100</v>
      </c>
      <c r="C96" s="62">
        <f>DIV_B!I97</f>
        <v>45</v>
      </c>
      <c r="D96" s="62"/>
      <c r="E96" s="62">
        <f>DIV_B!Q97</f>
        <v>52</v>
      </c>
      <c r="F96" s="62"/>
      <c r="G96" s="62">
        <f>DIV_B!Y97</f>
        <v>59</v>
      </c>
      <c r="H96" s="62"/>
      <c r="I96" s="62">
        <f>DIV_B!AG97</f>
        <v>38</v>
      </c>
      <c r="J96" s="62"/>
      <c r="K96" s="62">
        <f>DIV_B!AO97</f>
        <v>41</v>
      </c>
      <c r="L96" s="62"/>
      <c r="M96" s="62">
        <f>DIV_B!BE97</f>
        <v>33</v>
      </c>
      <c r="N96" s="62">
        <v>2</v>
      </c>
      <c r="O96" s="62">
        <f>DIV_B!BR97</f>
        <v>268</v>
      </c>
      <c r="P96" s="62">
        <v>2</v>
      </c>
      <c r="Q96" s="63">
        <f>DIV_B!BS97</f>
        <v>44.666666666666664</v>
      </c>
      <c r="R96" s="100" t="str">
        <f>DIV_B!BT97</f>
        <v>PROMOTED</v>
      </c>
    </row>
    <row r="97" spans="1:18" ht="15.95" customHeight="1" x14ac:dyDescent="0.25">
      <c r="A97" s="1">
        <v>93</v>
      </c>
      <c r="B97" s="12" t="s">
        <v>101</v>
      </c>
      <c r="C97" s="62">
        <f>DIV_B!I98</f>
        <v>60</v>
      </c>
      <c r="D97" s="62"/>
      <c r="E97" s="62">
        <f>DIV_B!Q98</f>
        <v>65</v>
      </c>
      <c r="F97" s="62"/>
      <c r="G97" s="62">
        <f>DIV_B!Y98</f>
        <v>87</v>
      </c>
      <c r="H97" s="62"/>
      <c r="I97" s="62">
        <f>DIV_B!AG98</f>
        <v>45</v>
      </c>
      <c r="J97" s="62"/>
      <c r="K97" s="62">
        <f>DIV_B!AO98</f>
        <v>68</v>
      </c>
      <c r="L97" s="62"/>
      <c r="M97" s="62">
        <f>DIV_B!BE98</f>
        <v>43</v>
      </c>
      <c r="N97" s="62"/>
      <c r="O97" s="62">
        <f>DIV_B!BR98</f>
        <v>368</v>
      </c>
      <c r="P97" s="62">
        <v>0</v>
      </c>
      <c r="Q97" s="63">
        <f>DIV_B!BS98</f>
        <v>61.333333333333336</v>
      </c>
      <c r="R97" s="100" t="str">
        <f>DIV_B!BT98</f>
        <v>GRADE I</v>
      </c>
    </row>
    <row r="98" spans="1:18" ht="15.95" customHeight="1" x14ac:dyDescent="0.25">
      <c r="A98" s="1">
        <v>94</v>
      </c>
      <c r="B98" s="12" t="s">
        <v>102</v>
      </c>
      <c r="C98" s="62">
        <f>DIV_B!I99</f>
        <v>47</v>
      </c>
      <c r="D98" s="62"/>
      <c r="E98" s="62">
        <f>DIV_B!Q99</f>
        <v>57</v>
      </c>
      <c r="F98" s="62"/>
      <c r="G98" s="62">
        <f>DIV_B!Y99</f>
        <v>71</v>
      </c>
      <c r="H98" s="62"/>
      <c r="I98" s="62">
        <f>DIV_B!AG99</f>
        <v>40</v>
      </c>
      <c r="J98" s="62"/>
      <c r="K98" s="62">
        <f>DIV_B!AO99</f>
        <v>63</v>
      </c>
      <c r="L98" s="62"/>
      <c r="M98" s="62">
        <f>DIV_B!BE99</f>
        <v>46</v>
      </c>
      <c r="N98" s="62"/>
      <c r="O98" s="62">
        <f>DIV_B!BR99</f>
        <v>324</v>
      </c>
      <c r="P98" s="62">
        <v>0</v>
      </c>
      <c r="Q98" s="63">
        <f>DIV_B!BS99</f>
        <v>54</v>
      </c>
      <c r="R98" s="100" t="str">
        <f>DIV_B!BT99</f>
        <v>GRADE II</v>
      </c>
    </row>
    <row r="99" spans="1:18" ht="15.95" customHeight="1" x14ac:dyDescent="0.25">
      <c r="A99" s="1">
        <v>95</v>
      </c>
      <c r="B99" s="12" t="s">
        <v>103</v>
      </c>
      <c r="C99" s="62">
        <f>DIV_B!I100</f>
        <v>36</v>
      </c>
      <c r="D99" s="62"/>
      <c r="E99" s="62">
        <f>DIV_B!Q100</f>
        <v>26</v>
      </c>
      <c r="F99" s="62">
        <v>9</v>
      </c>
      <c r="G99" s="62">
        <f>DIV_B!Y100</f>
        <v>46</v>
      </c>
      <c r="H99" s="62"/>
      <c r="I99" s="62">
        <f>DIV_B!AG100</f>
        <v>41</v>
      </c>
      <c r="J99" s="62"/>
      <c r="K99" s="62">
        <f>DIV_B!AO100</f>
        <v>42</v>
      </c>
      <c r="L99" s="62"/>
      <c r="M99" s="62">
        <f>DIV_B!BE100</f>
        <v>36</v>
      </c>
      <c r="N99" s="62"/>
      <c r="O99" s="62">
        <f>DIV_B!BR100</f>
        <v>227</v>
      </c>
      <c r="P99" s="62">
        <v>9</v>
      </c>
      <c r="Q99" s="63">
        <f>DIV_B!BS100</f>
        <v>37.833333333333336</v>
      </c>
      <c r="R99" s="100" t="str">
        <f>DIV_B!BT100</f>
        <v>PROMOTED</v>
      </c>
    </row>
    <row r="100" spans="1:18" ht="15.95" customHeight="1" x14ac:dyDescent="0.25">
      <c r="A100" s="1">
        <v>96</v>
      </c>
      <c r="B100" s="12" t="s">
        <v>104</v>
      </c>
      <c r="C100" s="62">
        <f>DIV_B!I101</f>
        <v>51</v>
      </c>
      <c r="D100" s="62"/>
      <c r="E100" s="62">
        <f>DIV_B!Q101</f>
        <v>54</v>
      </c>
      <c r="F100" s="62"/>
      <c r="G100" s="62">
        <f>DIV_B!Y101</f>
        <v>83</v>
      </c>
      <c r="H100" s="62"/>
      <c r="I100" s="62">
        <f>DIV_B!AG101</f>
        <v>54</v>
      </c>
      <c r="J100" s="62"/>
      <c r="K100" s="62">
        <f>DIV_B!AO101</f>
        <v>65</v>
      </c>
      <c r="L100" s="62"/>
      <c r="M100" s="62">
        <f>DIV_B!BE101</f>
        <v>59</v>
      </c>
      <c r="N100" s="62"/>
      <c r="O100" s="62">
        <f>DIV_B!BR101</f>
        <v>366</v>
      </c>
      <c r="P100" s="62">
        <v>0</v>
      </c>
      <c r="Q100" s="63">
        <f>DIV_B!BS101</f>
        <v>61</v>
      </c>
      <c r="R100" s="100" t="str">
        <f>DIV_B!BT101</f>
        <v>GRADE I</v>
      </c>
    </row>
    <row r="101" spans="1:18" ht="15.95" customHeight="1" x14ac:dyDescent="0.25">
      <c r="A101" s="1">
        <v>97</v>
      </c>
      <c r="B101" s="12" t="s">
        <v>105</v>
      </c>
      <c r="C101" s="62">
        <f>DIV_B!I102</f>
        <v>49</v>
      </c>
      <c r="D101" s="62"/>
      <c r="E101" s="62">
        <f>DIV_B!Q102</f>
        <v>44</v>
      </c>
      <c r="F101" s="62"/>
      <c r="G101" s="62">
        <f>DIV_B!Y102</f>
        <v>58</v>
      </c>
      <c r="H101" s="62"/>
      <c r="I101" s="62">
        <f>DIV_B!AG102</f>
        <v>34</v>
      </c>
      <c r="J101" s="62">
        <v>1</v>
      </c>
      <c r="K101" s="62">
        <f>DIV_B!AO102</f>
        <v>43</v>
      </c>
      <c r="L101" s="62"/>
      <c r="M101" s="62">
        <f>DIV_B!BE102</f>
        <v>25</v>
      </c>
      <c r="N101" s="62">
        <v>10</v>
      </c>
      <c r="O101" s="62">
        <f>DIV_B!BR102</f>
        <v>253</v>
      </c>
      <c r="P101" s="62">
        <v>0</v>
      </c>
      <c r="Q101" s="63">
        <f>DIV_B!BS102</f>
        <v>42.166666666666664</v>
      </c>
      <c r="R101" s="100" t="s">
        <v>375</v>
      </c>
    </row>
    <row r="102" spans="1:18" ht="15.95" customHeight="1" x14ac:dyDescent="0.25">
      <c r="A102" s="1">
        <v>98</v>
      </c>
      <c r="B102" s="12" t="s">
        <v>106</v>
      </c>
      <c r="C102" s="62">
        <f>DIV_B!I103</f>
        <v>49</v>
      </c>
      <c r="D102" s="62"/>
      <c r="E102" s="62">
        <f>DIV_B!Q103</f>
        <v>55</v>
      </c>
      <c r="F102" s="62"/>
      <c r="G102" s="62">
        <f>DIV_B!Y103</f>
        <v>54</v>
      </c>
      <c r="H102" s="62"/>
      <c r="I102" s="62">
        <f>DIV_B!AG103</f>
        <v>38</v>
      </c>
      <c r="J102" s="62"/>
      <c r="K102" s="62">
        <f>DIV_B!AO103</f>
        <v>44</v>
      </c>
      <c r="L102" s="62"/>
      <c r="M102" s="62">
        <f>DIV_B!BE103</f>
        <v>25</v>
      </c>
      <c r="N102" s="62">
        <v>10</v>
      </c>
      <c r="O102" s="62">
        <f>DIV_B!BR103</f>
        <v>265</v>
      </c>
      <c r="P102" s="62">
        <v>0</v>
      </c>
      <c r="Q102" s="63">
        <f>DIV_B!BS103</f>
        <v>44.166666666666664</v>
      </c>
      <c r="R102" s="100" t="s">
        <v>375</v>
      </c>
    </row>
    <row r="103" spans="1:18" ht="15.95" customHeight="1" x14ac:dyDescent="0.25">
      <c r="A103" s="1">
        <v>99</v>
      </c>
      <c r="B103" s="12" t="s">
        <v>107</v>
      </c>
      <c r="C103" s="62">
        <f>DIV_B!I104</f>
        <v>48</v>
      </c>
      <c r="D103" s="62"/>
      <c r="E103" s="62">
        <f>DIV_B!Q104</f>
        <v>56</v>
      </c>
      <c r="F103" s="62"/>
      <c r="G103" s="62">
        <f>DIV_B!Y104</f>
        <v>60</v>
      </c>
      <c r="H103" s="62"/>
      <c r="I103" s="62">
        <f>DIV_B!AG104</f>
        <v>55</v>
      </c>
      <c r="J103" s="62"/>
      <c r="K103" s="62">
        <f>DIV_B!AO104</f>
        <v>62</v>
      </c>
      <c r="L103" s="62"/>
      <c r="M103" s="62">
        <f>DIV_B!BE104</f>
        <v>48</v>
      </c>
      <c r="N103" s="62"/>
      <c r="O103" s="62">
        <f>DIV_B!BR104</f>
        <v>329</v>
      </c>
      <c r="P103" s="62">
        <v>0</v>
      </c>
      <c r="Q103" s="63">
        <f>DIV_B!BS104</f>
        <v>54.833333333333336</v>
      </c>
      <c r="R103" s="100" t="str">
        <f>DIV_B!BT104</f>
        <v>GRADE II</v>
      </c>
    </row>
    <row r="104" spans="1:18" ht="15.95" customHeight="1" x14ac:dyDescent="0.25">
      <c r="A104" s="1">
        <v>100</v>
      </c>
      <c r="B104" s="12" t="s">
        <v>108</v>
      </c>
      <c r="C104" s="62">
        <f>DIV_B!I105</f>
        <v>46</v>
      </c>
      <c r="D104" s="62"/>
      <c r="E104" s="62">
        <f>DIV_B!Q105</f>
        <v>47</v>
      </c>
      <c r="F104" s="62"/>
      <c r="G104" s="62">
        <f>DIV_B!Y105</f>
        <v>75</v>
      </c>
      <c r="H104" s="62"/>
      <c r="I104" s="62">
        <f>DIV_B!AG105</f>
        <v>56</v>
      </c>
      <c r="J104" s="62"/>
      <c r="K104" s="62">
        <f>DIV_B!AO105</f>
        <v>78</v>
      </c>
      <c r="L104" s="62"/>
      <c r="M104" s="62">
        <f>DIV_B!BE105</f>
        <v>47</v>
      </c>
      <c r="N104" s="62"/>
      <c r="O104" s="62">
        <f>DIV_B!BR105</f>
        <v>349</v>
      </c>
      <c r="P104" s="62">
        <v>0</v>
      </c>
      <c r="Q104" s="63">
        <f>DIV_B!BS105</f>
        <v>58.166666666666664</v>
      </c>
      <c r="R104" s="100" t="str">
        <f>DIV_B!BT105</f>
        <v>GRADE II</v>
      </c>
    </row>
    <row r="105" spans="1:18" ht="15.95" customHeight="1" x14ac:dyDescent="0.25">
      <c r="A105" s="1">
        <v>101</v>
      </c>
      <c r="B105" s="12" t="s">
        <v>109</v>
      </c>
      <c r="C105" s="62">
        <f>DIV_B!I106</f>
        <v>57</v>
      </c>
      <c r="D105" s="62"/>
      <c r="E105" s="62">
        <f>DIV_B!Q106</f>
        <v>54</v>
      </c>
      <c r="F105" s="62"/>
      <c r="G105" s="62">
        <f>DIV_B!Y106</f>
        <v>67</v>
      </c>
      <c r="H105" s="62"/>
      <c r="I105" s="62">
        <f>DIV_B!AG106</f>
        <v>38</v>
      </c>
      <c r="J105" s="62"/>
      <c r="K105" s="62">
        <f>DIV_B!AO106</f>
        <v>56</v>
      </c>
      <c r="L105" s="62"/>
      <c r="M105" s="62">
        <f>DIV_B!BE106</f>
        <v>41</v>
      </c>
      <c r="N105" s="62"/>
      <c r="O105" s="62">
        <f>DIV_B!BR106</f>
        <v>313</v>
      </c>
      <c r="P105" s="62">
        <v>0</v>
      </c>
      <c r="Q105" s="63">
        <f>DIV_B!BS106</f>
        <v>52.166666666666664</v>
      </c>
      <c r="R105" s="100" t="str">
        <f>DIV_B!BT106</f>
        <v>GRADE II</v>
      </c>
    </row>
    <row r="106" spans="1:18" ht="15.95" customHeight="1" x14ac:dyDescent="0.25">
      <c r="A106" s="1">
        <v>102</v>
      </c>
      <c r="B106" s="12" t="s">
        <v>110</v>
      </c>
      <c r="C106" s="62">
        <f>DIV_B!I107</f>
        <v>68</v>
      </c>
      <c r="D106" s="62"/>
      <c r="E106" s="62">
        <f>DIV_B!Q107</f>
        <v>61</v>
      </c>
      <c r="F106" s="62"/>
      <c r="G106" s="62">
        <f>DIV_B!Y107</f>
        <v>78</v>
      </c>
      <c r="H106" s="62"/>
      <c r="I106" s="62">
        <f>DIV_B!AG107</f>
        <v>69</v>
      </c>
      <c r="J106" s="62"/>
      <c r="K106" s="62">
        <f>DIV_B!AO107</f>
        <v>82</v>
      </c>
      <c r="L106" s="62"/>
      <c r="M106" s="62">
        <f>DIV_B!BE107</f>
        <v>56</v>
      </c>
      <c r="N106" s="62"/>
      <c r="O106" s="62">
        <f>DIV_B!BR107</f>
        <v>414</v>
      </c>
      <c r="P106" s="62">
        <v>0</v>
      </c>
      <c r="Q106" s="63">
        <f>DIV_B!BS107</f>
        <v>69</v>
      </c>
      <c r="R106" s="100" t="str">
        <f>DIV_B!BT107</f>
        <v>GRADE I</v>
      </c>
    </row>
    <row r="107" spans="1:18" ht="15.95" customHeight="1" x14ac:dyDescent="0.25">
      <c r="A107" s="1">
        <v>103</v>
      </c>
      <c r="B107" s="12" t="s">
        <v>111</v>
      </c>
      <c r="C107" s="62">
        <f>DIV_B!I108</f>
        <v>50</v>
      </c>
      <c r="D107" s="62"/>
      <c r="E107" s="62">
        <f>DIV_B!Q108</f>
        <v>31</v>
      </c>
      <c r="F107" s="62">
        <v>4</v>
      </c>
      <c r="G107" s="62">
        <f>DIV_B!Y108</f>
        <v>71</v>
      </c>
      <c r="H107" s="62"/>
      <c r="I107" s="62">
        <f>DIV_B!AG108</f>
        <v>52</v>
      </c>
      <c r="J107" s="62"/>
      <c r="K107" s="62">
        <f>DIV_B!AO108</f>
        <v>62</v>
      </c>
      <c r="L107" s="62"/>
      <c r="M107" s="62">
        <f>DIV_B!BE108</f>
        <v>42</v>
      </c>
      <c r="N107" s="62"/>
      <c r="O107" s="62">
        <f>DIV_B!BR108</f>
        <v>308</v>
      </c>
      <c r="P107" s="62">
        <v>4</v>
      </c>
      <c r="Q107" s="63">
        <f>DIV_B!BS108</f>
        <v>51.333333333333336</v>
      </c>
      <c r="R107" s="100" t="str">
        <f>DIV_B!BT108</f>
        <v>PROMOTED</v>
      </c>
    </row>
    <row r="108" spans="1:18" ht="15.95" customHeight="1" x14ac:dyDescent="0.25">
      <c r="A108" s="1">
        <v>104</v>
      </c>
      <c r="B108" s="12" t="s">
        <v>112</v>
      </c>
      <c r="C108" s="62">
        <f>DIV_B!I109</f>
        <v>46</v>
      </c>
      <c r="D108" s="62"/>
      <c r="E108" s="62">
        <f>DIV_B!Q109</f>
        <v>35</v>
      </c>
      <c r="F108" s="62"/>
      <c r="G108" s="62">
        <f>DIV_B!Y109</f>
        <v>50</v>
      </c>
      <c r="H108" s="62"/>
      <c r="I108" s="62">
        <f>DIV_B!AG109</f>
        <v>38</v>
      </c>
      <c r="J108" s="62"/>
      <c r="K108" s="62">
        <f>DIV_B!AO109</f>
        <v>43</v>
      </c>
      <c r="L108" s="62"/>
      <c r="M108" s="62">
        <f>DIV_B!BE109</f>
        <v>29</v>
      </c>
      <c r="N108" s="62">
        <v>6</v>
      </c>
      <c r="O108" s="62">
        <f>DIV_B!BR109</f>
        <v>241</v>
      </c>
      <c r="P108" s="62">
        <v>6</v>
      </c>
      <c r="Q108" s="63">
        <f>DIV_B!BS109</f>
        <v>40.166666666666664</v>
      </c>
      <c r="R108" s="100" t="str">
        <f>DIV_B!BT109</f>
        <v>PROMOTED</v>
      </c>
    </row>
    <row r="109" spans="1:18" ht="15.95" customHeight="1" x14ac:dyDescent="0.25">
      <c r="A109" s="1">
        <v>105</v>
      </c>
      <c r="B109" s="12" t="s">
        <v>113</v>
      </c>
      <c r="C109" s="62">
        <f>DIV_B!I110</f>
        <v>49</v>
      </c>
      <c r="D109" s="62"/>
      <c r="E109" s="62">
        <f>DIV_B!Q110</f>
        <v>49</v>
      </c>
      <c r="F109" s="62"/>
      <c r="G109" s="62">
        <f>DIV_B!Y110</f>
        <v>68</v>
      </c>
      <c r="H109" s="62"/>
      <c r="I109" s="62">
        <f>DIV_B!AG110</f>
        <v>38</v>
      </c>
      <c r="J109" s="62"/>
      <c r="K109" s="62">
        <f>DIV_B!AO110</f>
        <v>56</v>
      </c>
      <c r="L109" s="62"/>
      <c r="M109" s="62">
        <f>DIV_B!BE110</f>
        <v>44</v>
      </c>
      <c r="N109" s="62"/>
      <c r="O109" s="62">
        <f>DIV_B!BR110</f>
        <v>304</v>
      </c>
      <c r="P109" s="62">
        <v>0</v>
      </c>
      <c r="Q109" s="63">
        <f>DIV_B!BS110</f>
        <v>50.666666666666664</v>
      </c>
      <c r="R109" s="100" t="str">
        <f>DIV_B!BT110</f>
        <v>GRADE II</v>
      </c>
    </row>
    <row r="110" spans="1:18" ht="15.95" customHeight="1" x14ac:dyDescent="0.25">
      <c r="A110" s="1">
        <v>106</v>
      </c>
      <c r="B110" s="12" t="s">
        <v>114</v>
      </c>
      <c r="C110" s="62">
        <f>DIV_B!I111</f>
        <v>38</v>
      </c>
      <c r="D110" s="62"/>
      <c r="E110" s="62">
        <f>DIV_B!Q111</f>
        <v>48</v>
      </c>
      <c r="F110" s="62"/>
      <c r="G110" s="62">
        <f>DIV_B!Y111</f>
        <v>45</v>
      </c>
      <c r="H110" s="62"/>
      <c r="I110" s="62">
        <f>DIV_B!AG111</f>
        <v>33</v>
      </c>
      <c r="J110" s="62">
        <v>2</v>
      </c>
      <c r="K110" s="62">
        <f>DIV_B!AO111</f>
        <v>42</v>
      </c>
      <c r="L110" s="62"/>
      <c r="M110" s="62">
        <f>DIV_B!BE111</f>
        <v>34</v>
      </c>
      <c r="N110" s="62">
        <v>1</v>
      </c>
      <c r="O110" s="62">
        <f>DIV_B!BR111</f>
        <v>240</v>
      </c>
      <c r="P110" s="62">
        <v>3</v>
      </c>
      <c r="Q110" s="63">
        <f>DIV_B!BS111</f>
        <v>40</v>
      </c>
      <c r="R110" s="100" t="str">
        <f>DIV_B!BT111</f>
        <v>PROMOTED</v>
      </c>
    </row>
    <row r="111" spans="1:18" ht="15.95" customHeight="1" x14ac:dyDescent="0.25">
      <c r="A111" s="1">
        <v>107</v>
      </c>
      <c r="B111" s="12" t="s">
        <v>115</v>
      </c>
      <c r="C111" s="62">
        <f>DIV_B!I112</f>
        <v>46</v>
      </c>
      <c r="D111" s="62"/>
      <c r="E111" s="62">
        <f>DIV_B!Q112</f>
        <v>46</v>
      </c>
      <c r="F111" s="62"/>
      <c r="G111" s="62">
        <f>DIV_B!Y112</f>
        <v>54</v>
      </c>
      <c r="H111" s="62"/>
      <c r="I111" s="62">
        <f>DIV_B!AG112</f>
        <v>58</v>
      </c>
      <c r="J111" s="62"/>
      <c r="K111" s="62">
        <f>DIV_B!AO112</f>
        <v>64</v>
      </c>
      <c r="L111" s="62"/>
      <c r="M111" s="62">
        <f>DIV_B!BE112</f>
        <v>39</v>
      </c>
      <c r="N111" s="62"/>
      <c r="O111" s="62">
        <f>DIV_B!BR112</f>
        <v>307</v>
      </c>
      <c r="P111" s="62">
        <v>0</v>
      </c>
      <c r="Q111" s="63">
        <f>DIV_B!BS112</f>
        <v>51.166666666666664</v>
      </c>
      <c r="R111" s="100" t="str">
        <f>DIV_B!BT112</f>
        <v>GRADE II</v>
      </c>
    </row>
    <row r="112" spans="1:18" ht="15.95" customHeight="1" x14ac:dyDescent="0.25">
      <c r="A112" s="1">
        <v>108</v>
      </c>
      <c r="B112" s="12" t="s">
        <v>116</v>
      </c>
      <c r="C112" s="62">
        <f>DIV_B!I113</f>
        <v>60</v>
      </c>
      <c r="D112" s="62"/>
      <c r="E112" s="62">
        <f>DIV_B!Q113</f>
        <v>58</v>
      </c>
      <c r="F112" s="62"/>
      <c r="G112" s="62">
        <f>DIV_B!Y113</f>
        <v>84</v>
      </c>
      <c r="H112" s="62"/>
      <c r="I112" s="62">
        <f>DIV_B!AG113</f>
        <v>73</v>
      </c>
      <c r="J112" s="62"/>
      <c r="K112" s="62">
        <f>DIV_B!AO113</f>
        <v>88</v>
      </c>
      <c r="L112" s="62"/>
      <c r="M112" s="62">
        <f>DIV_B!BE113</f>
        <v>56</v>
      </c>
      <c r="N112" s="62"/>
      <c r="O112" s="62">
        <f>DIV_B!BR113</f>
        <v>419</v>
      </c>
      <c r="P112" s="62">
        <v>0</v>
      </c>
      <c r="Q112" s="63">
        <f>DIV_B!BS113</f>
        <v>69.833333333333329</v>
      </c>
      <c r="R112" s="100" t="str">
        <f>DIV_B!BT113</f>
        <v>GRADE I</v>
      </c>
    </row>
    <row r="113" spans="1:18" ht="15.95" customHeight="1" x14ac:dyDescent="0.25">
      <c r="A113" s="1">
        <v>109</v>
      </c>
      <c r="B113" s="12" t="s">
        <v>117</v>
      </c>
      <c r="C113" s="62">
        <f>DIV_B!I114</f>
        <v>36</v>
      </c>
      <c r="D113" s="62"/>
      <c r="E113" s="62">
        <f>DIV_B!Q114</f>
        <v>43</v>
      </c>
      <c r="F113" s="62"/>
      <c r="G113" s="62">
        <f>DIV_B!Y114</f>
        <v>54</v>
      </c>
      <c r="H113" s="62"/>
      <c r="I113" s="62">
        <f>DIV_B!AG114</f>
        <v>48</v>
      </c>
      <c r="J113" s="62"/>
      <c r="K113" s="62">
        <f>DIV_B!AO114</f>
        <v>43</v>
      </c>
      <c r="L113" s="62"/>
      <c r="M113" s="62">
        <f>DIV_B!BE114</f>
        <v>39</v>
      </c>
      <c r="N113" s="62"/>
      <c r="O113" s="62">
        <f>DIV_B!BR114</f>
        <v>263</v>
      </c>
      <c r="P113" s="62">
        <v>0</v>
      </c>
      <c r="Q113" s="63">
        <f>DIV_B!BS114</f>
        <v>43.833333333333336</v>
      </c>
      <c r="R113" s="100" t="str">
        <f>DIV_B!BT114</f>
        <v>PASS</v>
      </c>
    </row>
    <row r="114" spans="1:18" ht="15.95" customHeight="1" x14ac:dyDescent="0.25">
      <c r="A114" s="1">
        <v>110</v>
      </c>
      <c r="B114" s="12" t="s">
        <v>118</v>
      </c>
      <c r="C114" s="62">
        <f>DIV_B!I115</f>
        <v>52</v>
      </c>
      <c r="D114" s="62"/>
      <c r="E114" s="62">
        <f>DIV_B!Q115</f>
        <v>54</v>
      </c>
      <c r="F114" s="62"/>
      <c r="G114" s="62">
        <f>DIV_B!Y115</f>
        <v>80</v>
      </c>
      <c r="H114" s="62"/>
      <c r="I114" s="62">
        <f>DIV_B!AG115</f>
        <v>68</v>
      </c>
      <c r="J114" s="62"/>
      <c r="K114" s="62">
        <f>DIV_B!AO115</f>
        <v>71</v>
      </c>
      <c r="L114" s="62"/>
      <c r="M114" s="62">
        <f>DIV_B!BE115</f>
        <v>76</v>
      </c>
      <c r="N114" s="62"/>
      <c r="O114" s="62">
        <f>DIV_B!BR115</f>
        <v>401</v>
      </c>
      <c r="P114" s="62">
        <v>0</v>
      </c>
      <c r="Q114" s="63">
        <f>DIV_B!BS115</f>
        <v>66.833333333333329</v>
      </c>
      <c r="R114" s="100" t="str">
        <f>DIV_B!BT115</f>
        <v>GRADE I</v>
      </c>
    </row>
    <row r="115" spans="1:18" ht="15.95" customHeight="1" x14ac:dyDescent="0.25">
      <c r="A115" s="1">
        <v>111</v>
      </c>
      <c r="B115" s="12" t="s">
        <v>119</v>
      </c>
      <c r="C115" s="62">
        <f>DIV_B!I116</f>
        <v>54</v>
      </c>
      <c r="D115" s="62"/>
      <c r="E115" s="62">
        <f>DIV_B!Q116</f>
        <v>46</v>
      </c>
      <c r="F115" s="62"/>
      <c r="G115" s="62">
        <f>DIV_B!Y116</f>
        <v>60</v>
      </c>
      <c r="H115" s="62"/>
      <c r="I115" s="62">
        <f>DIV_B!AG116</f>
        <v>43</v>
      </c>
      <c r="J115" s="62"/>
      <c r="K115" s="62">
        <f>DIV_B!AO116</f>
        <v>55</v>
      </c>
      <c r="L115" s="62"/>
      <c r="M115" s="62">
        <f>DIV_B!BE116</f>
        <v>34</v>
      </c>
      <c r="N115" s="62">
        <v>1</v>
      </c>
      <c r="O115" s="62">
        <f>DIV_B!BR116</f>
        <v>292</v>
      </c>
      <c r="P115" s="62">
        <v>1</v>
      </c>
      <c r="Q115" s="63">
        <f>DIV_B!BS116</f>
        <v>48.666666666666664</v>
      </c>
      <c r="R115" s="100" t="str">
        <f>DIV_B!BT116</f>
        <v>PROMOTED</v>
      </c>
    </row>
    <row r="116" spans="1:18" ht="15.95" customHeight="1" x14ac:dyDescent="0.25">
      <c r="A116" s="1">
        <v>112</v>
      </c>
      <c r="B116" s="12" t="s">
        <v>120</v>
      </c>
      <c r="C116" s="62">
        <f>DIV_B!I117</f>
        <v>43</v>
      </c>
      <c r="D116" s="62"/>
      <c r="E116" s="62">
        <f>DIV_B!Q117</f>
        <v>46</v>
      </c>
      <c r="F116" s="62"/>
      <c r="G116" s="62">
        <f>DIV_B!Y117</f>
        <v>50</v>
      </c>
      <c r="H116" s="62"/>
      <c r="I116" s="62">
        <f>DIV_B!AG117</f>
        <v>32</v>
      </c>
      <c r="J116" s="62">
        <v>3</v>
      </c>
      <c r="K116" s="62">
        <f>DIV_B!AO117</f>
        <v>39</v>
      </c>
      <c r="L116" s="62"/>
      <c r="M116" s="62">
        <f>DIV_B!BE117</f>
        <v>25</v>
      </c>
      <c r="N116" s="62">
        <v>10</v>
      </c>
      <c r="O116" s="62">
        <f>DIV_B!BR117</f>
        <v>235</v>
      </c>
      <c r="P116" s="62">
        <v>13</v>
      </c>
      <c r="Q116" s="63">
        <f>DIV_B!BS117</f>
        <v>39.166666666666664</v>
      </c>
      <c r="R116" s="100" t="str">
        <f>DIV_B!BT117</f>
        <v>PROMOTED</v>
      </c>
    </row>
    <row r="117" spans="1:18" s="82" customFormat="1" ht="15.95" customHeight="1" x14ac:dyDescent="0.25">
      <c r="A117" s="78">
        <v>113</v>
      </c>
      <c r="B117" s="121" t="s">
        <v>121</v>
      </c>
      <c r="C117" s="117">
        <f>DIV_B!I118</f>
        <v>34</v>
      </c>
      <c r="D117" s="117"/>
      <c r="E117" s="117">
        <f>DIV_B!Q118</f>
        <v>29</v>
      </c>
      <c r="F117" s="117"/>
      <c r="G117" s="117">
        <f>DIV_B!Y118</f>
        <v>27</v>
      </c>
      <c r="H117" s="117"/>
      <c r="I117" s="117">
        <f>DIV_B!AG118</f>
        <v>16</v>
      </c>
      <c r="J117" s="117"/>
      <c r="K117" s="117">
        <f>DIV_B!AO118</f>
        <v>28</v>
      </c>
      <c r="L117" s="117"/>
      <c r="M117" s="117">
        <f>DIV_B!BE118</f>
        <v>19</v>
      </c>
      <c r="N117" s="117"/>
      <c r="O117" s="117">
        <f>DIV_B!BR118</f>
        <v>153</v>
      </c>
      <c r="P117" s="117">
        <v>0</v>
      </c>
      <c r="Q117" s="118">
        <f>DIV_B!BS118</f>
        <v>25.5</v>
      </c>
      <c r="R117" s="120" t="str">
        <f>DIV_B!BT118</f>
        <v>FAIL</v>
      </c>
    </row>
    <row r="118" spans="1:18" ht="15.95" customHeight="1" x14ac:dyDescent="0.25">
      <c r="A118" s="1">
        <v>114</v>
      </c>
      <c r="B118" s="8" t="s">
        <v>122</v>
      </c>
      <c r="C118" s="62">
        <f>DIV_B!I119</f>
        <v>54</v>
      </c>
      <c r="D118" s="62"/>
      <c r="E118" s="62">
        <f>DIV_B!Q119</f>
        <v>63</v>
      </c>
      <c r="F118" s="62"/>
      <c r="G118" s="62">
        <f>DIV_B!Y119</f>
        <v>81</v>
      </c>
      <c r="H118" s="62"/>
      <c r="I118" s="62">
        <f>DIV_B!AG119</f>
        <v>46</v>
      </c>
      <c r="J118" s="62"/>
      <c r="K118" s="62">
        <f>DIV_B!AO119</f>
        <v>75</v>
      </c>
      <c r="L118" s="62"/>
      <c r="M118" s="62">
        <f>DIV_B!BE119</f>
        <v>31</v>
      </c>
      <c r="N118" s="62">
        <v>4</v>
      </c>
      <c r="O118" s="62">
        <f>DIV_B!BR119</f>
        <v>350</v>
      </c>
      <c r="P118" s="62">
        <v>4</v>
      </c>
      <c r="Q118" s="63">
        <f>DIV_B!BS119</f>
        <v>58.333333333333336</v>
      </c>
      <c r="R118" s="100" t="str">
        <f>DIV_B!BT119</f>
        <v>PROMOTED</v>
      </c>
    </row>
    <row r="119" spans="1:18" ht="15.95" customHeight="1" x14ac:dyDescent="0.25">
      <c r="A119" s="1">
        <v>115</v>
      </c>
      <c r="B119" s="8" t="s">
        <v>123</v>
      </c>
      <c r="C119" s="62">
        <f>DIV_B!I120</f>
        <v>53</v>
      </c>
      <c r="D119" s="62"/>
      <c r="E119" s="62">
        <f>DIV_B!Q120</f>
        <v>59</v>
      </c>
      <c r="F119" s="62"/>
      <c r="G119" s="62">
        <f>DIV_B!Y120</f>
        <v>73</v>
      </c>
      <c r="H119" s="62"/>
      <c r="I119" s="62">
        <f>DIV_B!AG120</f>
        <v>68</v>
      </c>
      <c r="J119" s="62"/>
      <c r="K119" s="62">
        <f>DIV_B!AO120</f>
        <v>72</v>
      </c>
      <c r="L119" s="62"/>
      <c r="M119" s="62">
        <f>DIV_B!BE120</f>
        <v>64</v>
      </c>
      <c r="N119" s="62"/>
      <c r="O119" s="62">
        <f>DIV_B!BR120</f>
        <v>389</v>
      </c>
      <c r="P119" s="62">
        <v>0</v>
      </c>
      <c r="Q119" s="63">
        <f>DIV_B!BS120</f>
        <v>64.833333333333329</v>
      </c>
      <c r="R119" s="100" t="str">
        <f>DIV_B!BT120</f>
        <v>GRADE I</v>
      </c>
    </row>
    <row r="120" spans="1:18" ht="15.95" customHeight="1" x14ac:dyDescent="0.25">
      <c r="A120" s="1">
        <v>116</v>
      </c>
      <c r="B120" s="8" t="s">
        <v>124</v>
      </c>
      <c r="C120" s="62">
        <f>DIV_B!I121</f>
        <v>44</v>
      </c>
      <c r="D120" s="62"/>
      <c r="E120" s="62">
        <f>DIV_B!Q121</f>
        <v>36</v>
      </c>
      <c r="F120" s="62"/>
      <c r="G120" s="62">
        <f>DIV_B!Y121</f>
        <v>39</v>
      </c>
      <c r="H120" s="62"/>
      <c r="I120" s="62">
        <f>DIV_B!AG121</f>
        <v>30</v>
      </c>
      <c r="J120" s="62">
        <v>5</v>
      </c>
      <c r="K120" s="62">
        <f>DIV_B!AO121</f>
        <v>50</v>
      </c>
      <c r="L120" s="62"/>
      <c r="M120" s="62">
        <v>32</v>
      </c>
      <c r="N120" s="62">
        <v>3</v>
      </c>
      <c r="O120" s="62">
        <f>DIV_B!BR121</f>
        <v>199</v>
      </c>
      <c r="P120" s="62">
        <v>8</v>
      </c>
      <c r="Q120" s="63">
        <f>DIV_B!BS121</f>
        <v>33.166666666666664</v>
      </c>
      <c r="R120" s="100" t="s">
        <v>375</v>
      </c>
    </row>
    <row r="121" spans="1:18" ht="15.95" customHeight="1" x14ac:dyDescent="0.25">
      <c r="A121" s="1">
        <v>117</v>
      </c>
      <c r="B121" s="15" t="s">
        <v>125</v>
      </c>
      <c r="C121" s="62">
        <f>DIV_B!I122</f>
        <v>44</v>
      </c>
      <c r="D121" s="62"/>
      <c r="E121" s="62">
        <f>DIV_B!Q122</f>
        <v>50</v>
      </c>
      <c r="F121" s="62"/>
      <c r="G121" s="62">
        <f>DIV_B!Y122</f>
        <v>55</v>
      </c>
      <c r="H121" s="62"/>
      <c r="I121" s="62">
        <f>DIV_B!AG122</f>
        <v>42</v>
      </c>
      <c r="J121" s="62"/>
      <c r="K121" s="62">
        <f>DIV_B!AO122</f>
        <v>40</v>
      </c>
      <c r="L121" s="62"/>
      <c r="M121" s="62">
        <f>DIV_B!BE122</f>
        <v>25</v>
      </c>
      <c r="N121" s="62"/>
      <c r="O121" s="62">
        <f>DIV_B!BR122</f>
        <v>256</v>
      </c>
      <c r="P121" s="62">
        <v>0</v>
      </c>
      <c r="Q121" s="63">
        <f>DIV_B!BS122</f>
        <v>42.666666666666664</v>
      </c>
      <c r="R121" s="100" t="str">
        <f>DIV_B!BT122</f>
        <v>PROMOTED</v>
      </c>
    </row>
    <row r="122" spans="1:18" ht="15.95" customHeight="1" x14ac:dyDescent="0.25">
      <c r="A122" s="1">
        <v>118</v>
      </c>
      <c r="B122" s="9" t="s">
        <v>126</v>
      </c>
      <c r="C122" s="62">
        <f>DIV_B!I123</f>
        <v>43</v>
      </c>
      <c r="D122" s="62"/>
      <c r="E122" s="62">
        <f>DIV_B!Q123</f>
        <v>39</v>
      </c>
      <c r="F122" s="62"/>
      <c r="G122" s="62">
        <f>DIV_B!Y123</f>
        <v>63</v>
      </c>
      <c r="H122" s="62"/>
      <c r="I122" s="62">
        <f>DIV_B!AG123</f>
        <v>42</v>
      </c>
      <c r="J122" s="62"/>
      <c r="K122" s="62">
        <f>DIV_B!AO123</f>
        <v>51</v>
      </c>
      <c r="L122" s="62"/>
      <c r="M122" s="62">
        <f>DIV_B!BE123</f>
        <v>52</v>
      </c>
      <c r="N122" s="62"/>
      <c r="O122" s="62">
        <f>DIV_B!BR123</f>
        <v>290</v>
      </c>
      <c r="P122" s="62">
        <v>0</v>
      </c>
      <c r="Q122" s="63">
        <f>DIV_B!BS123</f>
        <v>48.333333333333336</v>
      </c>
      <c r="R122" s="100" t="str">
        <f>DIV_B!BT123</f>
        <v>GRADE II</v>
      </c>
    </row>
    <row r="123" spans="1:18" ht="15.95" customHeight="1" x14ac:dyDescent="0.25">
      <c r="A123" s="1">
        <v>119</v>
      </c>
      <c r="B123" s="16" t="s">
        <v>127</v>
      </c>
      <c r="C123" s="62">
        <f>DIV_B!I124</f>
        <v>50</v>
      </c>
      <c r="D123" s="62"/>
      <c r="E123" s="62">
        <f>DIV_B!Q124</f>
        <v>50</v>
      </c>
      <c r="F123" s="62"/>
      <c r="G123" s="62">
        <f>DIV_B!Y124</f>
        <v>54</v>
      </c>
      <c r="H123" s="62"/>
      <c r="I123" s="62">
        <f>DIV_B!AG124</f>
        <v>43</v>
      </c>
      <c r="J123" s="62"/>
      <c r="K123" s="62">
        <f>DIV_B!AO124</f>
        <v>57</v>
      </c>
      <c r="L123" s="62"/>
      <c r="M123" s="62">
        <f>DIV_B!BE124</f>
        <v>39</v>
      </c>
      <c r="N123" s="62"/>
      <c r="O123" s="62">
        <f>DIV_B!BR124</f>
        <v>293</v>
      </c>
      <c r="P123" s="62">
        <v>0</v>
      </c>
      <c r="Q123" s="63">
        <f>DIV_B!BS124</f>
        <v>48.833333333333336</v>
      </c>
      <c r="R123" s="100" t="str">
        <f>DIV_B!BT124</f>
        <v>GRADE II</v>
      </c>
    </row>
    <row r="124" spans="1:18" ht="15.95" customHeight="1" x14ac:dyDescent="0.55000000000000004">
      <c r="A124" s="1">
        <v>120</v>
      </c>
      <c r="B124" s="17" t="s">
        <v>253</v>
      </c>
      <c r="C124" s="62">
        <f>DIV_B!I125</f>
        <v>38</v>
      </c>
      <c r="D124" s="62"/>
      <c r="E124" s="62">
        <f>DIV_B!Q125</f>
        <v>42</v>
      </c>
      <c r="F124" s="62"/>
      <c r="G124" s="62">
        <f>DIV_B!Y125</f>
        <v>53</v>
      </c>
      <c r="H124" s="62"/>
      <c r="I124" s="62">
        <f>DIV_B!AG125</f>
        <v>30</v>
      </c>
      <c r="J124" s="62">
        <v>5</v>
      </c>
      <c r="K124" s="62">
        <f>DIV_B!AO125</f>
        <v>55</v>
      </c>
      <c r="L124" s="62"/>
      <c r="M124" s="62">
        <f>DIV_B!BE125</f>
        <v>25</v>
      </c>
      <c r="N124" s="62">
        <v>10</v>
      </c>
      <c r="O124" s="62">
        <f>DIV_B!BR125</f>
        <v>243</v>
      </c>
      <c r="P124" s="62">
        <v>15</v>
      </c>
      <c r="Q124" s="63">
        <f>DIV_B!BS125</f>
        <v>40.5</v>
      </c>
      <c r="R124" s="100" t="str">
        <f>DIV_B!BT125</f>
        <v>PROMOTED</v>
      </c>
    </row>
    <row r="125" spans="1:18" ht="12" customHeight="1" x14ac:dyDescent="0.25"/>
    <row r="126" spans="1:18" ht="12" customHeight="1" x14ac:dyDescent="0.25"/>
  </sheetData>
  <conditionalFormatting sqref="Q1:Q1048576">
    <cfRule type="cellIs" dxfId="12" priority="1" operator="greaterThan">
      <formula>44.99</formula>
    </cfRule>
    <cfRule type="cellIs" dxfId="11" priority="2" operator="greaterThan">
      <formula>59.99</formula>
    </cfRule>
    <cfRule type="cellIs" dxfId="10" priority="3" operator="greaterThan">
      <formula>74.99</formula>
    </cfRule>
  </conditionalFormatting>
  <pageMargins left="0.7" right="0.7" top="0.75" bottom="0.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20F4-FC1E-4969-81BF-DC0FD31EFB7E}">
  <dimension ref="A1:G11"/>
  <sheetViews>
    <sheetView workbookViewId="0">
      <selection activeCell="K14" sqref="K14"/>
    </sheetView>
  </sheetViews>
  <sheetFormatPr defaultRowHeight="15" x14ac:dyDescent="0.25"/>
  <cols>
    <col min="3" max="3" width="19.140625" customWidth="1"/>
  </cols>
  <sheetData>
    <row r="1" spans="1:7" ht="18.75" x14ac:dyDescent="0.3">
      <c r="A1" s="186" t="s">
        <v>267</v>
      </c>
      <c r="B1" s="186"/>
      <c r="C1" s="186"/>
      <c r="D1" s="186"/>
      <c r="E1" s="186"/>
      <c r="F1" s="186"/>
    </row>
    <row r="2" spans="1:7" ht="18.75" x14ac:dyDescent="0.3">
      <c r="A2" s="186" t="s">
        <v>270</v>
      </c>
      <c r="B2" s="186"/>
      <c r="C2" s="186"/>
      <c r="D2" s="186"/>
      <c r="E2" s="186"/>
      <c r="F2" s="186"/>
    </row>
    <row r="3" spans="1:7" ht="18.75" x14ac:dyDescent="0.3">
      <c r="A3" s="187" t="s">
        <v>269</v>
      </c>
      <c r="B3" s="187"/>
      <c r="C3" s="187"/>
      <c r="D3" s="187"/>
      <c r="E3" s="187"/>
      <c r="F3" s="187"/>
    </row>
    <row r="4" spans="1:7" ht="31.5" x14ac:dyDescent="0.25">
      <c r="A4" s="30" t="s">
        <v>0</v>
      </c>
      <c r="B4" s="31" t="s">
        <v>250</v>
      </c>
      <c r="C4" s="31" t="s">
        <v>268</v>
      </c>
      <c r="D4" s="3" t="s">
        <v>255</v>
      </c>
      <c r="E4" s="3" t="s">
        <v>256</v>
      </c>
      <c r="F4" s="3" t="s">
        <v>264</v>
      </c>
      <c r="G4" s="3" t="s">
        <v>271</v>
      </c>
    </row>
    <row r="5" spans="1:7" ht="24.95" customHeight="1" x14ac:dyDescent="0.25">
      <c r="A5" s="184">
        <v>72</v>
      </c>
      <c r="B5" s="185" t="s">
        <v>199</v>
      </c>
      <c r="C5" s="32" t="s">
        <v>254</v>
      </c>
      <c r="D5" s="33">
        <v>9</v>
      </c>
      <c r="E5" s="33">
        <v>19</v>
      </c>
      <c r="F5" s="33">
        <v>16</v>
      </c>
      <c r="G5" s="35">
        <f>SUM(D5:F5)</f>
        <v>44</v>
      </c>
    </row>
    <row r="6" spans="1:7" ht="24.95" customHeight="1" x14ac:dyDescent="0.25">
      <c r="A6" s="184"/>
      <c r="B6" s="185"/>
      <c r="C6" s="34" t="s">
        <v>3</v>
      </c>
      <c r="D6" s="33">
        <v>13</v>
      </c>
      <c r="E6" s="33">
        <v>13</v>
      </c>
      <c r="F6" s="33">
        <v>11</v>
      </c>
      <c r="G6" s="35">
        <f t="shared" ref="G6:G11" si="0">SUM(D6:F6)</f>
        <v>37</v>
      </c>
    </row>
    <row r="7" spans="1:7" ht="24.95" customHeight="1" x14ac:dyDescent="0.25">
      <c r="A7" s="184"/>
      <c r="B7" s="185"/>
      <c r="C7" s="34" t="s">
        <v>257</v>
      </c>
      <c r="D7" s="33">
        <v>8</v>
      </c>
      <c r="E7" s="33">
        <v>14</v>
      </c>
      <c r="F7" s="33">
        <v>2</v>
      </c>
      <c r="G7" s="35">
        <f t="shared" si="0"/>
        <v>24</v>
      </c>
    </row>
    <row r="8" spans="1:7" ht="24.95" customHeight="1" x14ac:dyDescent="0.25">
      <c r="A8" s="184"/>
      <c r="B8" s="185"/>
      <c r="C8" s="34" t="s">
        <v>258</v>
      </c>
      <c r="D8" s="33">
        <v>5</v>
      </c>
      <c r="E8" s="33">
        <v>7</v>
      </c>
      <c r="F8" s="33">
        <v>7</v>
      </c>
      <c r="G8" s="35">
        <f t="shared" si="0"/>
        <v>19</v>
      </c>
    </row>
    <row r="9" spans="1:7" ht="24.95" customHeight="1" x14ac:dyDescent="0.25">
      <c r="A9" s="184"/>
      <c r="B9" s="185"/>
      <c r="C9" s="34" t="s">
        <v>5</v>
      </c>
      <c r="D9" s="33">
        <v>6</v>
      </c>
      <c r="E9" s="33">
        <v>9</v>
      </c>
      <c r="F9" s="33">
        <v>3</v>
      </c>
      <c r="G9" s="35">
        <f t="shared" si="0"/>
        <v>18</v>
      </c>
    </row>
    <row r="10" spans="1:7" ht="24.95" customHeight="1" x14ac:dyDescent="0.25">
      <c r="A10" s="184"/>
      <c r="B10" s="185"/>
      <c r="C10" s="34" t="s">
        <v>265</v>
      </c>
      <c r="D10" s="33">
        <v>10</v>
      </c>
      <c r="E10" s="33">
        <v>0</v>
      </c>
      <c r="F10" s="33">
        <v>2</v>
      </c>
      <c r="G10" s="35">
        <f t="shared" si="0"/>
        <v>12</v>
      </c>
    </row>
    <row r="11" spans="1:7" ht="24.95" customHeight="1" x14ac:dyDescent="0.25">
      <c r="A11" s="184"/>
      <c r="B11" s="185"/>
      <c r="C11" s="34" t="s">
        <v>266</v>
      </c>
      <c r="D11" s="33">
        <v>5</v>
      </c>
      <c r="E11" s="33">
        <v>5.5</v>
      </c>
      <c r="F11" s="33">
        <v>1</v>
      </c>
      <c r="G11" s="35">
        <f t="shared" si="0"/>
        <v>11.5</v>
      </c>
    </row>
  </sheetData>
  <mergeCells count="5">
    <mergeCell ref="A5:A11"/>
    <mergeCell ref="B5:B11"/>
    <mergeCell ref="A1:F1"/>
    <mergeCell ref="A2:F2"/>
    <mergeCell ref="A3:F3"/>
  </mergeCells>
  <printOptions horizontalCentered="1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8D44-B9EB-4AC2-AB43-DA944F38923B}">
  <dimension ref="A1:BK1048576"/>
  <sheetViews>
    <sheetView topLeftCell="AB1" workbookViewId="0">
      <selection activeCell="BD6" sqref="BD6:BD10"/>
    </sheetView>
  </sheetViews>
  <sheetFormatPr defaultRowHeight="15" x14ac:dyDescent="0.25"/>
  <cols>
    <col min="1" max="1" width="6.5703125" style="4" customWidth="1"/>
    <col min="2" max="2" width="33.42578125" style="25" customWidth="1"/>
    <col min="3" max="3" width="5.85546875" style="4" customWidth="1"/>
    <col min="4" max="20" width="5.7109375" style="4" customWidth="1"/>
    <col min="21" max="29" width="5.7109375" style="60" customWidth="1"/>
    <col min="30" max="48" width="5.7109375" style="4" customWidth="1"/>
    <col min="49" max="50" width="5.7109375" style="27" customWidth="1"/>
    <col min="51" max="59" width="5.7109375" style="4" customWidth="1"/>
    <col min="60" max="60" width="5.7109375" style="26" customWidth="1"/>
    <col min="61" max="61" width="7" style="4" customWidth="1"/>
    <col min="62" max="62" width="7.140625" style="4" customWidth="1"/>
    <col min="63" max="63" width="15.140625" style="4" customWidth="1"/>
    <col min="64" max="16384" width="9.140625" style="4"/>
  </cols>
  <sheetData>
    <row r="1" spans="1:63" ht="15.75" x14ac:dyDescent="0.25">
      <c r="A1" s="165" t="s">
        <v>251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</row>
    <row r="2" spans="1:63" ht="15.75" x14ac:dyDescent="0.25">
      <c r="A2" s="165" t="s">
        <v>332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</row>
    <row r="3" spans="1:63" ht="25.5" customHeight="1" x14ac:dyDescent="0.25">
      <c r="A3" s="18"/>
      <c r="B3" s="19"/>
      <c r="C3" s="166" t="s">
        <v>254</v>
      </c>
      <c r="D3" s="167"/>
      <c r="E3" s="167"/>
      <c r="F3" s="167"/>
      <c r="G3" s="167"/>
      <c r="H3" s="167"/>
      <c r="I3" s="167"/>
      <c r="J3" s="167"/>
      <c r="K3" s="171"/>
      <c r="L3" s="166" t="s">
        <v>3</v>
      </c>
      <c r="M3" s="167"/>
      <c r="N3" s="167"/>
      <c r="O3" s="167"/>
      <c r="P3" s="167"/>
      <c r="Q3" s="167"/>
      <c r="R3" s="167"/>
      <c r="S3" s="167"/>
      <c r="T3" s="171"/>
      <c r="U3" s="172" t="s">
        <v>257</v>
      </c>
      <c r="V3" s="173"/>
      <c r="W3" s="173"/>
      <c r="X3" s="173"/>
      <c r="Y3" s="173"/>
      <c r="Z3" s="173"/>
      <c r="AA3" s="173"/>
      <c r="AB3" s="173"/>
      <c r="AC3" s="174"/>
      <c r="AD3" s="166" t="s">
        <v>258</v>
      </c>
      <c r="AE3" s="167"/>
      <c r="AF3" s="167"/>
      <c r="AG3" s="167"/>
      <c r="AH3" s="167"/>
      <c r="AI3" s="167"/>
      <c r="AJ3" s="167"/>
      <c r="AK3" s="167"/>
      <c r="AL3" s="171"/>
      <c r="AM3" s="166" t="s">
        <v>5</v>
      </c>
      <c r="AN3" s="167"/>
      <c r="AO3" s="167"/>
      <c r="AP3" s="167"/>
      <c r="AQ3" s="167"/>
      <c r="AR3" s="167"/>
      <c r="AS3" s="167"/>
      <c r="AT3" s="167"/>
      <c r="AU3" s="171"/>
      <c r="AV3" s="77"/>
      <c r="AW3" s="164" t="s">
        <v>263</v>
      </c>
      <c r="AX3" s="164"/>
      <c r="AY3" s="164"/>
      <c r="AZ3" s="164"/>
      <c r="BA3" s="164"/>
      <c r="BB3" s="164"/>
      <c r="BC3" s="164"/>
      <c r="BD3" s="164"/>
      <c r="BE3" s="164"/>
      <c r="BF3" s="10"/>
      <c r="BG3" s="10"/>
      <c r="BH3" s="28"/>
      <c r="BI3" s="10"/>
      <c r="BJ3" s="10"/>
      <c r="BK3" s="10"/>
    </row>
    <row r="4" spans="1:63" ht="55.5" customHeight="1" x14ac:dyDescent="0.3">
      <c r="A4" s="20" t="s">
        <v>0</v>
      </c>
      <c r="B4" s="21" t="s">
        <v>250</v>
      </c>
      <c r="C4" s="3" t="s">
        <v>278</v>
      </c>
      <c r="D4" s="3" t="s">
        <v>279</v>
      </c>
      <c r="E4" s="3" t="s">
        <v>280</v>
      </c>
      <c r="F4" s="3" t="s">
        <v>281</v>
      </c>
      <c r="G4" s="3" t="s">
        <v>282</v>
      </c>
      <c r="H4" s="3" t="s">
        <v>384</v>
      </c>
      <c r="I4" s="3" t="s">
        <v>283</v>
      </c>
      <c r="J4" s="3" t="s">
        <v>284</v>
      </c>
      <c r="K4" s="37" t="s">
        <v>293</v>
      </c>
      <c r="L4" s="3" t="s">
        <v>274</v>
      </c>
      <c r="M4" s="3" t="s">
        <v>275</v>
      </c>
      <c r="N4" s="3" t="s">
        <v>276</v>
      </c>
      <c r="O4" s="3" t="s">
        <v>272</v>
      </c>
      <c r="P4" s="3" t="s">
        <v>273</v>
      </c>
      <c r="Q4" s="3" t="s">
        <v>385</v>
      </c>
      <c r="R4" s="38" t="s">
        <v>277</v>
      </c>
      <c r="S4" s="36" t="s">
        <v>292</v>
      </c>
      <c r="T4" s="38" t="s">
        <v>294</v>
      </c>
      <c r="U4" s="55" t="s">
        <v>289</v>
      </c>
      <c r="V4" s="55" t="s">
        <v>290</v>
      </c>
      <c r="W4" s="55" t="s">
        <v>291</v>
      </c>
      <c r="X4" s="55" t="s">
        <v>285</v>
      </c>
      <c r="Y4" s="55" t="s">
        <v>286</v>
      </c>
      <c r="Z4" s="55" t="s">
        <v>386</v>
      </c>
      <c r="AA4" s="55" t="s">
        <v>287</v>
      </c>
      <c r="AB4" s="55" t="s">
        <v>288</v>
      </c>
      <c r="AC4" s="56" t="s">
        <v>342</v>
      </c>
      <c r="AD4" s="3" t="s">
        <v>297</v>
      </c>
      <c r="AE4" s="3" t="s">
        <v>298</v>
      </c>
      <c r="AF4" s="3" t="s">
        <v>299</v>
      </c>
      <c r="AG4" s="3" t="s">
        <v>296</v>
      </c>
      <c r="AH4" s="3" t="s">
        <v>300</v>
      </c>
      <c r="AI4" s="3" t="s">
        <v>387</v>
      </c>
      <c r="AJ4" s="3" t="s">
        <v>301</v>
      </c>
      <c r="AK4" s="3" t="s">
        <v>302</v>
      </c>
      <c r="AL4" s="36" t="s">
        <v>303</v>
      </c>
      <c r="AM4" s="3" t="s">
        <v>326</v>
      </c>
      <c r="AN4" s="3" t="s">
        <v>327</v>
      </c>
      <c r="AO4" s="3" t="s">
        <v>328</v>
      </c>
      <c r="AP4" s="3" t="s">
        <v>304</v>
      </c>
      <c r="AQ4" s="3" t="s">
        <v>305</v>
      </c>
      <c r="AR4" s="3" t="s">
        <v>388</v>
      </c>
      <c r="AS4" s="3" t="s">
        <v>306</v>
      </c>
      <c r="AT4" s="3" t="s">
        <v>307</v>
      </c>
      <c r="AU4" s="36" t="s">
        <v>308</v>
      </c>
      <c r="AV4" s="39" t="s">
        <v>321</v>
      </c>
      <c r="AW4" s="3" t="s">
        <v>323</v>
      </c>
      <c r="AX4" s="3" t="s">
        <v>324</v>
      </c>
      <c r="AY4" s="3" t="s">
        <v>325</v>
      </c>
      <c r="AZ4" s="3" t="s">
        <v>322</v>
      </c>
      <c r="BA4" s="3" t="s">
        <v>390</v>
      </c>
      <c r="BB4" s="3" t="s">
        <v>389</v>
      </c>
      <c r="BC4" s="3" t="s">
        <v>391</v>
      </c>
      <c r="BD4" s="3" t="s">
        <v>392</v>
      </c>
      <c r="BE4" s="39" t="s">
        <v>321</v>
      </c>
      <c r="BF4" s="46" t="s">
        <v>334</v>
      </c>
      <c r="BG4" s="47" t="s">
        <v>335</v>
      </c>
      <c r="BH4" s="48" t="s">
        <v>336</v>
      </c>
      <c r="BI4" s="48" t="s">
        <v>337</v>
      </c>
      <c r="BJ4" s="48" t="s">
        <v>338</v>
      </c>
      <c r="BK4" s="49" t="s">
        <v>339</v>
      </c>
    </row>
    <row r="5" spans="1:63" ht="18.75" customHeight="1" x14ac:dyDescent="0.3">
      <c r="A5" s="20"/>
      <c r="B5" s="21"/>
      <c r="C5" s="3">
        <v>25</v>
      </c>
      <c r="D5" s="3">
        <v>50</v>
      </c>
      <c r="E5" s="3">
        <v>25</v>
      </c>
      <c r="F5" s="3">
        <v>20</v>
      </c>
      <c r="G5" s="3">
        <v>80</v>
      </c>
      <c r="H5" s="3">
        <v>100</v>
      </c>
      <c r="I5" s="33">
        <v>200</v>
      </c>
      <c r="J5" s="33">
        <v>100</v>
      </c>
      <c r="K5" s="10"/>
      <c r="L5" s="3">
        <v>25</v>
      </c>
      <c r="M5" s="3">
        <v>50</v>
      </c>
      <c r="N5" s="3">
        <v>25</v>
      </c>
      <c r="O5" s="3">
        <v>20</v>
      </c>
      <c r="P5" s="3">
        <v>80</v>
      </c>
      <c r="Q5" s="3">
        <v>100</v>
      </c>
      <c r="R5" s="33">
        <v>200</v>
      </c>
      <c r="S5" s="33">
        <v>100</v>
      </c>
      <c r="T5" s="33"/>
      <c r="U5" s="55">
        <v>25</v>
      </c>
      <c r="V5" s="55">
        <v>50</v>
      </c>
      <c r="W5" s="55">
        <v>25</v>
      </c>
      <c r="X5" s="55">
        <v>20</v>
      </c>
      <c r="Y5" s="55">
        <v>80</v>
      </c>
      <c r="Z5" s="55">
        <v>100</v>
      </c>
      <c r="AA5" s="57">
        <v>200</v>
      </c>
      <c r="AB5" s="57">
        <v>100</v>
      </c>
      <c r="AC5" s="58"/>
      <c r="AD5" s="3">
        <v>25</v>
      </c>
      <c r="AE5" s="3">
        <v>50</v>
      </c>
      <c r="AF5" s="3">
        <v>25</v>
      </c>
      <c r="AG5" s="3">
        <v>20</v>
      </c>
      <c r="AH5" s="3">
        <v>80</v>
      </c>
      <c r="AI5" s="3">
        <v>100</v>
      </c>
      <c r="AJ5" s="33">
        <v>200</v>
      </c>
      <c r="AK5" s="33">
        <v>100</v>
      </c>
      <c r="AL5" s="10"/>
      <c r="AM5" s="3">
        <v>25</v>
      </c>
      <c r="AN5" s="3">
        <v>50</v>
      </c>
      <c r="AO5" s="3">
        <v>25</v>
      </c>
      <c r="AP5" s="3">
        <v>20</v>
      </c>
      <c r="AQ5" s="3">
        <v>80</v>
      </c>
      <c r="AR5" s="3">
        <v>100</v>
      </c>
      <c r="AS5" s="33">
        <v>200</v>
      </c>
      <c r="AT5" s="33">
        <v>100</v>
      </c>
      <c r="AU5" s="10"/>
      <c r="AV5" s="10"/>
      <c r="AW5" s="3">
        <v>25</v>
      </c>
      <c r="AX5" s="3">
        <v>50</v>
      </c>
      <c r="AY5" s="3">
        <v>25</v>
      </c>
      <c r="AZ5" s="3">
        <v>20</v>
      </c>
      <c r="BA5" s="3">
        <v>80</v>
      </c>
      <c r="BB5" s="3">
        <v>100</v>
      </c>
      <c r="BC5" s="33">
        <v>200</v>
      </c>
      <c r="BD5" s="33">
        <v>100</v>
      </c>
      <c r="BE5" s="10"/>
      <c r="BF5" s="42"/>
      <c r="BG5" s="44"/>
      <c r="BH5" s="84"/>
      <c r="BI5" s="44"/>
      <c r="BJ5" s="44"/>
      <c r="BK5" s="44"/>
    </row>
    <row r="6" spans="1:63" ht="15.75" x14ac:dyDescent="0.25">
      <c r="A6" s="2" t="s">
        <v>367</v>
      </c>
      <c r="B6" s="5" t="s">
        <v>134</v>
      </c>
      <c r="C6" s="1">
        <v>11</v>
      </c>
      <c r="D6" s="1">
        <v>32</v>
      </c>
      <c r="E6" s="1">
        <v>19</v>
      </c>
      <c r="F6" s="1">
        <v>16</v>
      </c>
      <c r="G6" s="1">
        <v>55</v>
      </c>
      <c r="H6" s="1">
        <f>F6+G6</f>
        <v>71</v>
      </c>
      <c r="I6" s="1">
        <f t="shared" ref="I6" si="0">ROUND(SUM(C6:G6),0)</f>
        <v>133</v>
      </c>
      <c r="J6" s="1">
        <f t="shared" ref="J6" si="1">ROUND(I6/2,0)</f>
        <v>67</v>
      </c>
      <c r="K6" s="10"/>
      <c r="L6" s="1">
        <v>8</v>
      </c>
      <c r="M6" s="1">
        <v>47</v>
      </c>
      <c r="N6" s="1">
        <v>10</v>
      </c>
      <c r="O6" s="1">
        <v>19</v>
      </c>
      <c r="P6" s="1">
        <v>48</v>
      </c>
      <c r="Q6" s="1">
        <f>O6+P6</f>
        <v>67</v>
      </c>
      <c r="R6" s="1">
        <f t="shared" ref="R6" si="2">ROUND(SUM(L6:P6),0)</f>
        <v>132</v>
      </c>
      <c r="S6" s="1">
        <f t="shared" ref="S6" si="3">ROUND(R6/2,0)</f>
        <v>66</v>
      </c>
      <c r="T6" s="1"/>
      <c r="U6" s="59">
        <v>23</v>
      </c>
      <c r="V6" s="59">
        <v>42</v>
      </c>
      <c r="W6" s="59">
        <v>18</v>
      </c>
      <c r="X6" s="59">
        <v>19</v>
      </c>
      <c r="Y6" s="59">
        <v>72</v>
      </c>
      <c r="Z6" s="1">
        <f>X6+Y6</f>
        <v>91</v>
      </c>
      <c r="AA6" s="59">
        <f t="shared" ref="AA6" si="4">ROUND(SUM(U6:Y6),0)</f>
        <v>174</v>
      </c>
      <c r="AB6" s="59">
        <f t="shared" ref="AB6" si="5">ROUND(AA6/2,0)</f>
        <v>87</v>
      </c>
      <c r="AC6" s="58"/>
      <c r="AD6" s="1">
        <v>17</v>
      </c>
      <c r="AE6" s="1">
        <v>18</v>
      </c>
      <c r="AF6" s="1">
        <v>10</v>
      </c>
      <c r="AG6" s="1">
        <v>17</v>
      </c>
      <c r="AH6" s="1">
        <v>41</v>
      </c>
      <c r="AI6" s="1">
        <f>AG6+AH6</f>
        <v>58</v>
      </c>
      <c r="AJ6" s="1">
        <f t="shared" ref="AJ6" si="6">ROUND(SUM(AD6:AH6),0)</f>
        <v>103</v>
      </c>
      <c r="AK6" s="1">
        <f t="shared" ref="AK6" si="7">ROUND(AJ6/2,0)</f>
        <v>52</v>
      </c>
      <c r="AL6" s="10"/>
      <c r="AM6" s="1">
        <v>19</v>
      </c>
      <c r="AN6" s="1">
        <v>45</v>
      </c>
      <c r="AO6" s="1">
        <v>16</v>
      </c>
      <c r="AP6" s="1">
        <v>17</v>
      </c>
      <c r="AQ6" s="1">
        <v>64</v>
      </c>
      <c r="AR6" s="1">
        <f>AP6+AQ6</f>
        <v>81</v>
      </c>
      <c r="AS6" s="1">
        <f t="shared" ref="AS6" si="8">ROUND(SUM(AM6:AQ6),0)</f>
        <v>161</v>
      </c>
      <c r="AT6" s="1">
        <f t="shared" ref="AT6" si="9">ROUND(AS6/2,0)</f>
        <v>81</v>
      </c>
      <c r="AU6" s="10"/>
      <c r="AV6" s="22"/>
      <c r="AW6" s="1">
        <v>0</v>
      </c>
      <c r="AX6" s="1">
        <v>15</v>
      </c>
      <c r="AY6" s="28">
        <v>13</v>
      </c>
      <c r="AZ6" s="28">
        <v>16</v>
      </c>
      <c r="BA6" s="28">
        <v>66</v>
      </c>
      <c r="BB6" s="1">
        <f>AZ6+BA6</f>
        <v>82</v>
      </c>
      <c r="BC6" s="28">
        <v>110</v>
      </c>
      <c r="BD6" s="28">
        <v>55</v>
      </c>
      <c r="BE6" s="10"/>
      <c r="BF6" s="28" t="s">
        <v>371</v>
      </c>
      <c r="BG6" s="28" t="s">
        <v>371</v>
      </c>
      <c r="BH6" s="28"/>
      <c r="BI6" s="50">
        <f>ROUND(J6+S6+AB6+AK6+AT6+BD6,0)</f>
        <v>408</v>
      </c>
      <c r="BJ6" s="51">
        <f t="shared" ref="BJ6" si="10">BI6/6</f>
        <v>68</v>
      </c>
      <c r="BK6" s="45" t="str">
        <f t="shared" ref="BK6" si="11">IF(BJ6&gt;=75,"GRADE I with Distinction",IF(BJ6&gt;=60,"GRADE I",IF(BJ6&gt;=45,"GRADE II",IF(BJ6&gt;=35,"PASS","FAIL"))))</f>
        <v>GRADE I</v>
      </c>
    </row>
    <row r="7" spans="1:63" ht="15.75" x14ac:dyDescent="0.25">
      <c r="A7" s="2" t="s">
        <v>368</v>
      </c>
      <c r="B7" s="5" t="s">
        <v>227</v>
      </c>
      <c r="C7" s="1">
        <v>4</v>
      </c>
      <c r="D7" s="1">
        <v>15</v>
      </c>
      <c r="E7" s="1">
        <v>9</v>
      </c>
      <c r="F7" s="1">
        <v>11</v>
      </c>
      <c r="G7" s="1">
        <v>30</v>
      </c>
      <c r="H7" s="1">
        <f t="shared" ref="H7:H10" si="12">F7+G7</f>
        <v>41</v>
      </c>
      <c r="I7" s="1">
        <f>ROUND(SUM(C7:G7),0)</f>
        <v>69</v>
      </c>
      <c r="J7" s="1">
        <f>ROUND(I7/2,0)</f>
        <v>35</v>
      </c>
      <c r="K7" s="10"/>
      <c r="L7" s="1">
        <v>5</v>
      </c>
      <c r="M7" s="1">
        <v>14</v>
      </c>
      <c r="N7" s="1">
        <v>8</v>
      </c>
      <c r="O7" s="1">
        <v>14</v>
      </c>
      <c r="P7" s="1">
        <v>19</v>
      </c>
      <c r="Q7" s="1">
        <f t="shared" ref="Q7:Q10" si="13">O7+P7</f>
        <v>33</v>
      </c>
      <c r="R7" s="1">
        <f>ROUND(SUM(L7:P7),0)</f>
        <v>60</v>
      </c>
      <c r="S7" s="1">
        <f>ROUND(R7/2,0)</f>
        <v>30</v>
      </c>
      <c r="T7" s="1">
        <v>5</v>
      </c>
      <c r="U7" s="59">
        <v>16</v>
      </c>
      <c r="V7" s="59">
        <v>26</v>
      </c>
      <c r="W7" s="59">
        <v>9</v>
      </c>
      <c r="X7" s="59">
        <v>18</v>
      </c>
      <c r="Y7" s="59">
        <v>47</v>
      </c>
      <c r="Z7" s="1">
        <f t="shared" ref="Z7:Z10" si="14">X7+Y7</f>
        <v>65</v>
      </c>
      <c r="AA7" s="59">
        <f>ROUND(SUM(U7:Y7),0)</f>
        <v>116</v>
      </c>
      <c r="AB7" s="59">
        <f>ROUND(AA7/2,0)</f>
        <v>58</v>
      </c>
      <c r="AC7" s="58"/>
      <c r="AD7" s="1">
        <v>9</v>
      </c>
      <c r="AE7" s="1">
        <v>14</v>
      </c>
      <c r="AF7" s="1">
        <v>6</v>
      </c>
      <c r="AG7" s="1">
        <v>15</v>
      </c>
      <c r="AH7" s="1">
        <v>27</v>
      </c>
      <c r="AI7" s="1">
        <f t="shared" ref="AI7:AI10" si="15">AG7+AH7</f>
        <v>42</v>
      </c>
      <c r="AJ7" s="1">
        <f>ROUND(SUM(AD7:AH7),0)</f>
        <v>71</v>
      </c>
      <c r="AK7" s="1">
        <f>ROUND(AJ7/2,0)</f>
        <v>36</v>
      </c>
      <c r="AL7" s="10"/>
      <c r="AM7" s="1">
        <v>8</v>
      </c>
      <c r="AN7" s="1">
        <v>17</v>
      </c>
      <c r="AO7" s="1">
        <v>10</v>
      </c>
      <c r="AP7" s="1">
        <v>15</v>
      </c>
      <c r="AQ7" s="1">
        <v>47</v>
      </c>
      <c r="AR7" s="1">
        <f t="shared" ref="AR7:AR10" si="16">AP7+AQ7</f>
        <v>62</v>
      </c>
      <c r="AS7" s="1">
        <f>ROUND(SUM(AM7:AQ7),0)</f>
        <v>97</v>
      </c>
      <c r="AT7" s="1">
        <f>ROUND(AS7/2,0)</f>
        <v>49</v>
      </c>
      <c r="AU7" s="10"/>
      <c r="AV7" s="1"/>
      <c r="AW7" s="1">
        <v>7</v>
      </c>
      <c r="AX7" s="1">
        <v>6</v>
      </c>
      <c r="AY7" s="28">
        <v>11</v>
      </c>
      <c r="AZ7" s="28">
        <v>17</v>
      </c>
      <c r="BA7" s="28">
        <v>43</v>
      </c>
      <c r="BB7" s="1">
        <f t="shared" ref="BB7:BB10" si="17">AZ7+BA7</f>
        <v>60</v>
      </c>
      <c r="BC7" s="28">
        <v>84</v>
      </c>
      <c r="BD7" s="28">
        <v>42</v>
      </c>
      <c r="BE7" s="10"/>
      <c r="BF7" s="28" t="s">
        <v>371</v>
      </c>
      <c r="BG7" s="28" t="s">
        <v>372</v>
      </c>
      <c r="BH7" s="28">
        <v>5</v>
      </c>
      <c r="BI7" s="50">
        <f t="shared" ref="BI7:BI9" si="18">ROUND(J7+S7+AB7+AK7+AT7+BD7,0)</f>
        <v>250</v>
      </c>
      <c r="BJ7" s="51">
        <f>BI7/6</f>
        <v>41.666666666666664</v>
      </c>
      <c r="BK7" s="45" t="s">
        <v>375</v>
      </c>
    </row>
    <row r="8" spans="1:63" s="111" customFormat="1" x14ac:dyDescent="0.25">
      <c r="A8" s="97" t="s">
        <v>369</v>
      </c>
      <c r="B8" s="154" t="s">
        <v>29</v>
      </c>
      <c r="C8" s="97">
        <v>9</v>
      </c>
      <c r="D8" s="97">
        <v>23</v>
      </c>
      <c r="E8" s="97">
        <v>15</v>
      </c>
      <c r="F8" s="97">
        <v>17</v>
      </c>
      <c r="G8" s="97">
        <v>47</v>
      </c>
      <c r="H8" s="97">
        <f t="shared" si="12"/>
        <v>64</v>
      </c>
      <c r="I8" s="97">
        <f t="shared" ref="I8:I10" si="19">ROUND(SUM(C8:G8),0)</f>
        <v>111</v>
      </c>
      <c r="J8" s="97">
        <f t="shared" ref="J8:J10" si="20">ROUND(I8/2,0)</f>
        <v>56</v>
      </c>
      <c r="K8" s="97"/>
      <c r="L8" s="97">
        <v>10</v>
      </c>
      <c r="M8" s="97">
        <v>28</v>
      </c>
      <c r="N8" s="97">
        <v>12</v>
      </c>
      <c r="O8" s="97">
        <v>14</v>
      </c>
      <c r="P8" s="97">
        <v>49</v>
      </c>
      <c r="Q8" s="97">
        <f t="shared" si="13"/>
        <v>63</v>
      </c>
      <c r="R8" s="97">
        <f t="shared" ref="R8" si="21">ROUND(SUM(L8:P8),0)</f>
        <v>113</v>
      </c>
      <c r="S8" s="97">
        <f t="shared" ref="S8:S10" si="22">ROUND(R8/2,0)</f>
        <v>57</v>
      </c>
      <c r="T8" s="97"/>
      <c r="U8" s="97">
        <v>14</v>
      </c>
      <c r="V8" s="97">
        <v>41</v>
      </c>
      <c r="W8" s="97">
        <v>15</v>
      </c>
      <c r="X8" s="97">
        <v>14</v>
      </c>
      <c r="Y8" s="97">
        <v>50</v>
      </c>
      <c r="Z8" s="97">
        <f t="shared" si="14"/>
        <v>64</v>
      </c>
      <c r="AA8" s="97">
        <f t="shared" ref="AA8:AA10" si="23">ROUND(SUM(U8:Y8),0)</f>
        <v>134</v>
      </c>
      <c r="AB8" s="97">
        <f t="shared" ref="AB8:AB10" si="24">ROUND(AA8/2,0)</f>
        <v>67</v>
      </c>
      <c r="AC8" s="97"/>
      <c r="AD8" s="97">
        <v>11</v>
      </c>
      <c r="AE8" s="97">
        <v>7</v>
      </c>
      <c r="AF8" s="97">
        <v>6</v>
      </c>
      <c r="AG8" s="97">
        <v>12</v>
      </c>
      <c r="AH8" s="97">
        <v>27</v>
      </c>
      <c r="AI8" s="97">
        <f t="shared" si="15"/>
        <v>39</v>
      </c>
      <c r="AJ8" s="97">
        <f t="shared" ref="AJ8:AJ10" si="25">ROUND(SUM(AD8:AH8),0)</f>
        <v>63</v>
      </c>
      <c r="AK8" s="97">
        <f t="shared" ref="AK8:AK10" si="26">ROUND(AJ8/2,0)</f>
        <v>32</v>
      </c>
      <c r="AL8" s="97">
        <v>3</v>
      </c>
      <c r="AM8" s="97">
        <v>14</v>
      </c>
      <c r="AN8" s="97">
        <v>26</v>
      </c>
      <c r="AO8" s="97">
        <v>9</v>
      </c>
      <c r="AP8" s="97">
        <v>17</v>
      </c>
      <c r="AQ8" s="97">
        <v>47</v>
      </c>
      <c r="AR8" s="97">
        <f t="shared" si="16"/>
        <v>64</v>
      </c>
      <c r="AS8" s="97">
        <f t="shared" ref="AS8:AS10" si="27">ROUND(SUM(AM8:AQ8),0)</f>
        <v>113</v>
      </c>
      <c r="AT8" s="97">
        <f t="shared" ref="AT8:AT10" si="28">ROUND(AS8/2,0)</f>
        <v>57</v>
      </c>
      <c r="AU8" s="97"/>
      <c r="AV8" s="97"/>
      <c r="AW8" s="97">
        <v>11</v>
      </c>
      <c r="AX8" s="97">
        <v>9</v>
      </c>
      <c r="AY8" s="97">
        <v>9</v>
      </c>
      <c r="AZ8" s="97">
        <v>10</v>
      </c>
      <c r="BA8" s="97">
        <v>54</v>
      </c>
      <c r="BB8" s="97">
        <f t="shared" si="17"/>
        <v>64</v>
      </c>
      <c r="BC8" s="97">
        <v>93</v>
      </c>
      <c r="BD8" s="114">
        <v>47</v>
      </c>
      <c r="BE8" s="97"/>
      <c r="BF8" s="97" t="s">
        <v>371</v>
      </c>
      <c r="BG8" s="97" t="s">
        <v>371</v>
      </c>
      <c r="BH8" s="97">
        <v>3</v>
      </c>
      <c r="BI8" s="108">
        <f t="shared" si="18"/>
        <v>316</v>
      </c>
      <c r="BJ8" s="155">
        <f t="shared" ref="BJ8:BJ9" si="29">BI8/6</f>
        <v>52.666666666666664</v>
      </c>
      <c r="BK8" s="156" t="s">
        <v>375</v>
      </c>
    </row>
    <row r="9" spans="1:63" s="163" customFormat="1" x14ac:dyDescent="0.25">
      <c r="A9" s="157" t="s">
        <v>370</v>
      </c>
      <c r="B9" s="158" t="s">
        <v>91</v>
      </c>
      <c r="C9" s="157">
        <v>7</v>
      </c>
      <c r="D9" s="157">
        <v>22</v>
      </c>
      <c r="E9" s="157">
        <v>13</v>
      </c>
      <c r="F9" s="157">
        <v>12</v>
      </c>
      <c r="G9" s="157">
        <v>42</v>
      </c>
      <c r="H9" s="157">
        <f t="shared" si="12"/>
        <v>54</v>
      </c>
      <c r="I9" s="157">
        <f t="shared" si="19"/>
        <v>96</v>
      </c>
      <c r="J9" s="157">
        <f t="shared" si="20"/>
        <v>48</v>
      </c>
      <c r="K9" s="157"/>
      <c r="L9" s="157">
        <v>6</v>
      </c>
      <c r="M9" s="157">
        <v>7</v>
      </c>
      <c r="N9" s="157">
        <v>8</v>
      </c>
      <c r="O9" s="157">
        <v>12</v>
      </c>
      <c r="P9" s="157">
        <v>17</v>
      </c>
      <c r="Q9" s="157">
        <f t="shared" si="13"/>
        <v>29</v>
      </c>
      <c r="R9" s="157">
        <f t="shared" ref="R9:R10" si="30">ROUND(SUM(L9:P9),0)</f>
        <v>50</v>
      </c>
      <c r="S9" s="157">
        <f t="shared" si="22"/>
        <v>25</v>
      </c>
      <c r="T9" s="157">
        <v>10</v>
      </c>
      <c r="U9" s="157">
        <v>14</v>
      </c>
      <c r="V9" s="157">
        <v>22</v>
      </c>
      <c r="W9" s="157">
        <v>15</v>
      </c>
      <c r="X9" s="157">
        <v>18</v>
      </c>
      <c r="Y9" s="157">
        <v>48</v>
      </c>
      <c r="Z9" s="157">
        <f t="shared" si="14"/>
        <v>66</v>
      </c>
      <c r="AA9" s="157">
        <f t="shared" si="23"/>
        <v>117</v>
      </c>
      <c r="AB9" s="157">
        <f t="shared" si="24"/>
        <v>59</v>
      </c>
      <c r="AC9" s="157"/>
      <c r="AD9" s="157">
        <v>11</v>
      </c>
      <c r="AE9" s="157">
        <v>16</v>
      </c>
      <c r="AF9" s="157">
        <v>6</v>
      </c>
      <c r="AG9" s="157">
        <v>14</v>
      </c>
      <c r="AH9" s="157">
        <v>21</v>
      </c>
      <c r="AI9" s="157">
        <f t="shared" si="15"/>
        <v>35</v>
      </c>
      <c r="AJ9" s="157">
        <f t="shared" si="25"/>
        <v>68</v>
      </c>
      <c r="AK9" s="157">
        <f t="shared" si="26"/>
        <v>34</v>
      </c>
      <c r="AL9" s="157">
        <v>1</v>
      </c>
      <c r="AM9" s="157">
        <v>3</v>
      </c>
      <c r="AN9" s="157">
        <v>31</v>
      </c>
      <c r="AO9" s="157">
        <v>10</v>
      </c>
      <c r="AP9" s="157">
        <v>15</v>
      </c>
      <c r="AQ9" s="157">
        <v>40</v>
      </c>
      <c r="AR9" s="157">
        <f t="shared" si="16"/>
        <v>55</v>
      </c>
      <c r="AS9" s="157">
        <f t="shared" si="27"/>
        <v>99</v>
      </c>
      <c r="AT9" s="157">
        <f t="shared" si="28"/>
        <v>50</v>
      </c>
      <c r="AU9" s="157"/>
      <c r="AV9" s="157"/>
      <c r="AW9" s="157">
        <v>2</v>
      </c>
      <c r="AX9" s="157">
        <v>20</v>
      </c>
      <c r="AY9" s="157">
        <v>3</v>
      </c>
      <c r="AZ9" s="157">
        <v>12</v>
      </c>
      <c r="BA9" s="157">
        <v>41</v>
      </c>
      <c r="BB9" s="157">
        <f t="shared" si="17"/>
        <v>53</v>
      </c>
      <c r="BC9" s="157">
        <f>SUM(AW9:BA9)</f>
        <v>78</v>
      </c>
      <c r="BD9" s="159">
        <f>78/2</f>
        <v>39</v>
      </c>
      <c r="BE9" s="157"/>
      <c r="BF9" s="157" t="s">
        <v>371</v>
      </c>
      <c r="BG9" s="157" t="s">
        <v>371</v>
      </c>
      <c r="BH9" s="157">
        <v>11</v>
      </c>
      <c r="BI9" s="160">
        <f t="shared" si="18"/>
        <v>255</v>
      </c>
      <c r="BJ9" s="161">
        <f t="shared" si="29"/>
        <v>42.5</v>
      </c>
      <c r="BK9" s="162" t="s">
        <v>375</v>
      </c>
    </row>
    <row r="10" spans="1:63" x14ac:dyDescent="0.25">
      <c r="A10" s="1">
        <v>116</v>
      </c>
      <c r="B10" s="8" t="s">
        <v>124</v>
      </c>
      <c r="C10" s="1">
        <v>8</v>
      </c>
      <c r="D10" s="1">
        <v>19</v>
      </c>
      <c r="E10" s="1">
        <v>9</v>
      </c>
      <c r="F10" s="1">
        <v>15</v>
      </c>
      <c r="G10" s="1">
        <v>36</v>
      </c>
      <c r="H10" s="1">
        <f t="shared" si="12"/>
        <v>51</v>
      </c>
      <c r="I10" s="1">
        <f t="shared" si="19"/>
        <v>87</v>
      </c>
      <c r="J10" s="1">
        <f t="shared" si="20"/>
        <v>44</v>
      </c>
      <c r="K10" s="1"/>
      <c r="L10" s="1">
        <v>0</v>
      </c>
      <c r="M10" s="1">
        <v>23</v>
      </c>
      <c r="N10" s="1">
        <v>7</v>
      </c>
      <c r="O10" s="1">
        <v>16</v>
      </c>
      <c r="P10" s="1">
        <v>25</v>
      </c>
      <c r="Q10" s="1">
        <f t="shared" si="13"/>
        <v>41</v>
      </c>
      <c r="R10" s="1">
        <f t="shared" si="30"/>
        <v>71</v>
      </c>
      <c r="S10" s="1">
        <f t="shared" si="22"/>
        <v>36</v>
      </c>
      <c r="T10" s="1"/>
      <c r="U10" s="1" t="s">
        <v>357</v>
      </c>
      <c r="V10" s="1">
        <v>25</v>
      </c>
      <c r="W10" s="1">
        <v>6</v>
      </c>
      <c r="X10" s="1">
        <v>11</v>
      </c>
      <c r="Y10" s="1">
        <v>35</v>
      </c>
      <c r="Z10" s="1">
        <f t="shared" si="14"/>
        <v>46</v>
      </c>
      <c r="AA10" s="1">
        <f t="shared" si="23"/>
        <v>77</v>
      </c>
      <c r="AB10" s="1">
        <f t="shared" si="24"/>
        <v>39</v>
      </c>
      <c r="AC10" s="1"/>
      <c r="AD10" s="1">
        <v>14</v>
      </c>
      <c r="AE10" s="1">
        <v>15</v>
      </c>
      <c r="AF10" s="1">
        <v>5</v>
      </c>
      <c r="AG10" s="1">
        <v>5</v>
      </c>
      <c r="AH10" s="1">
        <v>21</v>
      </c>
      <c r="AI10" s="1">
        <f t="shared" si="15"/>
        <v>26</v>
      </c>
      <c r="AJ10" s="1">
        <f t="shared" si="25"/>
        <v>60</v>
      </c>
      <c r="AK10" s="1">
        <f t="shared" si="26"/>
        <v>30</v>
      </c>
      <c r="AL10" s="1">
        <v>5</v>
      </c>
      <c r="AM10" s="1">
        <v>18</v>
      </c>
      <c r="AN10" s="83">
        <v>29</v>
      </c>
      <c r="AO10" s="1">
        <v>8</v>
      </c>
      <c r="AP10" s="1">
        <v>14</v>
      </c>
      <c r="AQ10" s="1">
        <v>30</v>
      </c>
      <c r="AR10" s="1">
        <f t="shared" si="16"/>
        <v>44</v>
      </c>
      <c r="AS10" s="1">
        <f t="shared" si="27"/>
        <v>99</v>
      </c>
      <c r="AT10" s="1">
        <f t="shared" si="28"/>
        <v>50</v>
      </c>
      <c r="AU10" s="1"/>
      <c r="AV10" s="10"/>
      <c r="AW10" s="1">
        <v>8</v>
      </c>
      <c r="AX10" s="1">
        <v>6</v>
      </c>
      <c r="AY10" s="28">
        <v>6</v>
      </c>
      <c r="AZ10" s="28">
        <v>14</v>
      </c>
      <c r="BA10" s="28">
        <v>30</v>
      </c>
      <c r="BB10" s="1">
        <f t="shared" si="17"/>
        <v>44</v>
      </c>
      <c r="BC10" s="28">
        <v>64</v>
      </c>
      <c r="BD10" s="28">
        <v>32</v>
      </c>
      <c r="BE10" s="28">
        <v>3</v>
      </c>
      <c r="BF10" s="28" t="s">
        <v>371</v>
      </c>
      <c r="BG10" s="28" t="s">
        <v>372</v>
      </c>
      <c r="BH10" s="28">
        <v>8</v>
      </c>
      <c r="BI10" s="28">
        <v>199</v>
      </c>
      <c r="BJ10" s="28">
        <v>33.166666666666664</v>
      </c>
      <c r="BK10" s="28" t="s">
        <v>375</v>
      </c>
    </row>
    <row r="1048576" spans="62:62" x14ac:dyDescent="0.25">
      <c r="BJ1048576" s="4">
        <f>MAX(BJ1:BJ1048575)</f>
        <v>68</v>
      </c>
    </row>
  </sheetData>
  <mergeCells count="8">
    <mergeCell ref="AW3:BE3"/>
    <mergeCell ref="A1:AU1"/>
    <mergeCell ref="A2:AU2"/>
    <mergeCell ref="C3:K3"/>
    <mergeCell ref="L3:T3"/>
    <mergeCell ref="U3:AC3"/>
    <mergeCell ref="AD3:AL3"/>
    <mergeCell ref="AM3:AU3"/>
  </mergeCells>
  <conditionalFormatting sqref="J10">
    <cfRule type="cellIs" dxfId="9" priority="5" operator="lessThan">
      <formula>35</formula>
    </cfRule>
  </conditionalFormatting>
  <conditionalFormatting sqref="S10">
    <cfRule type="cellIs" dxfId="8" priority="4" operator="lessThan">
      <formula>35</formula>
    </cfRule>
  </conditionalFormatting>
  <conditionalFormatting sqref="AB10">
    <cfRule type="cellIs" dxfId="7" priority="3" operator="lessThan">
      <formula>35</formula>
    </cfRule>
  </conditionalFormatting>
  <conditionalFormatting sqref="AK10">
    <cfRule type="cellIs" dxfId="6" priority="1" operator="lessThan">
      <formula>35</formula>
    </cfRule>
  </conditionalFormatting>
  <conditionalFormatting sqref="AT10">
    <cfRule type="cellIs" dxfId="5" priority="2" operator="lessThan">
      <formula>35</formula>
    </cfRule>
  </conditionalFormatting>
  <pageMargins left="0.7" right="0.7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C274-9210-4B01-8FED-2B279E44DD14}">
  <dimension ref="A1:BK12"/>
  <sheetViews>
    <sheetView workbookViewId="0">
      <selection activeCell="AU7" sqref="AU6:AU7"/>
    </sheetView>
  </sheetViews>
  <sheetFormatPr defaultRowHeight="15" x14ac:dyDescent="0.25"/>
  <cols>
    <col min="1" max="1" width="6.28515625" customWidth="1"/>
    <col min="2" max="2" width="14.85546875" customWidth="1"/>
    <col min="3" max="7" width="6.7109375" customWidth="1"/>
    <col min="8" max="9" width="5.42578125" customWidth="1"/>
    <col min="10" max="10" width="6.7109375" customWidth="1"/>
    <col min="11" max="11" width="3.7109375" customWidth="1"/>
    <col min="12" max="12" width="5.5703125" customWidth="1"/>
    <col min="13" max="17" width="6.7109375" customWidth="1"/>
    <col min="18" max="18" width="4.85546875" customWidth="1"/>
    <col min="19" max="19" width="5.28515625" customWidth="1"/>
    <col min="20" max="20" width="4.85546875" customWidth="1"/>
    <col min="21" max="62" width="6.7109375" customWidth="1"/>
    <col min="63" max="63" width="15.85546875" customWidth="1"/>
  </cols>
  <sheetData>
    <row r="1" spans="1:63" ht="15.75" x14ac:dyDescent="0.25">
      <c r="A1" s="165" t="s">
        <v>251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4"/>
      <c r="AW1" s="27"/>
      <c r="AX1" s="27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spans="1:63" ht="15.75" x14ac:dyDescent="0.25">
      <c r="A2" s="165" t="s">
        <v>332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4"/>
      <c r="AW2" s="27"/>
      <c r="AX2" s="2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spans="1:63" ht="15.75" x14ac:dyDescent="0.25">
      <c r="A3" s="18"/>
      <c r="B3" s="19"/>
      <c r="C3" s="166" t="s">
        <v>254</v>
      </c>
      <c r="D3" s="167"/>
      <c r="E3" s="167"/>
      <c r="F3" s="167"/>
      <c r="G3" s="167"/>
      <c r="H3" s="167"/>
      <c r="I3" s="167"/>
      <c r="J3" s="167"/>
      <c r="K3" s="171"/>
      <c r="L3" s="166" t="s">
        <v>3</v>
      </c>
      <c r="M3" s="167"/>
      <c r="N3" s="167"/>
      <c r="O3" s="167"/>
      <c r="P3" s="167"/>
      <c r="Q3" s="167"/>
      <c r="R3" s="167"/>
      <c r="S3" s="167"/>
      <c r="T3" s="171"/>
      <c r="U3" s="172" t="s">
        <v>257</v>
      </c>
      <c r="V3" s="173"/>
      <c r="W3" s="173"/>
      <c r="X3" s="173"/>
      <c r="Y3" s="173"/>
      <c r="Z3" s="173"/>
      <c r="AA3" s="173"/>
      <c r="AB3" s="173"/>
      <c r="AC3" s="174"/>
      <c r="AD3" s="166" t="s">
        <v>258</v>
      </c>
      <c r="AE3" s="167"/>
      <c r="AF3" s="167"/>
      <c r="AG3" s="167"/>
      <c r="AH3" s="167"/>
      <c r="AI3" s="167"/>
      <c r="AJ3" s="167"/>
      <c r="AK3" s="167"/>
      <c r="AL3" s="171"/>
      <c r="AM3" s="166" t="s">
        <v>5</v>
      </c>
      <c r="AN3" s="167"/>
      <c r="AO3" s="167"/>
      <c r="AP3" s="167"/>
      <c r="AQ3" s="167"/>
      <c r="AR3" s="167"/>
      <c r="AS3" s="167"/>
      <c r="AT3" s="167"/>
      <c r="AU3" s="171"/>
      <c r="AV3" s="77"/>
      <c r="AW3" s="164" t="s">
        <v>263</v>
      </c>
      <c r="AX3" s="164"/>
      <c r="AY3" s="164"/>
      <c r="AZ3" s="164"/>
      <c r="BA3" s="164"/>
      <c r="BB3" s="164"/>
      <c r="BC3" s="164"/>
      <c r="BD3" s="164"/>
      <c r="BE3" s="164"/>
      <c r="BF3" s="10"/>
      <c r="BG3" s="10"/>
      <c r="BH3" s="10"/>
      <c r="BI3" s="10"/>
      <c r="BJ3" s="10"/>
      <c r="BK3" s="10"/>
    </row>
    <row r="4" spans="1:63" ht="47.25" x14ac:dyDescent="0.3">
      <c r="A4" s="20" t="s">
        <v>0</v>
      </c>
      <c r="B4" s="21" t="s">
        <v>250</v>
      </c>
      <c r="C4" s="3" t="s">
        <v>278</v>
      </c>
      <c r="D4" s="3" t="s">
        <v>279</v>
      </c>
      <c r="E4" s="3" t="s">
        <v>280</v>
      </c>
      <c r="F4" s="3" t="s">
        <v>281</v>
      </c>
      <c r="G4" s="3" t="s">
        <v>282</v>
      </c>
      <c r="H4" s="3" t="s">
        <v>384</v>
      </c>
      <c r="I4" s="3" t="s">
        <v>283</v>
      </c>
      <c r="J4" s="3" t="s">
        <v>284</v>
      </c>
      <c r="K4" s="37" t="s">
        <v>293</v>
      </c>
      <c r="L4" s="3" t="s">
        <v>274</v>
      </c>
      <c r="M4" s="3" t="s">
        <v>275</v>
      </c>
      <c r="N4" s="3" t="s">
        <v>276</v>
      </c>
      <c r="O4" s="3" t="s">
        <v>272</v>
      </c>
      <c r="P4" s="3" t="s">
        <v>273</v>
      </c>
      <c r="Q4" s="3" t="s">
        <v>385</v>
      </c>
      <c r="R4" s="38" t="s">
        <v>277</v>
      </c>
      <c r="S4" s="36" t="s">
        <v>292</v>
      </c>
      <c r="T4" s="38" t="s">
        <v>294</v>
      </c>
      <c r="U4" s="55" t="s">
        <v>289</v>
      </c>
      <c r="V4" s="55" t="s">
        <v>290</v>
      </c>
      <c r="W4" s="55" t="s">
        <v>291</v>
      </c>
      <c r="X4" s="55" t="s">
        <v>285</v>
      </c>
      <c r="Y4" s="55" t="s">
        <v>286</v>
      </c>
      <c r="Z4" s="55" t="s">
        <v>386</v>
      </c>
      <c r="AA4" s="55" t="s">
        <v>287</v>
      </c>
      <c r="AB4" s="55" t="s">
        <v>288</v>
      </c>
      <c r="AC4" s="56" t="s">
        <v>342</v>
      </c>
      <c r="AD4" s="3" t="s">
        <v>297</v>
      </c>
      <c r="AE4" s="3" t="s">
        <v>298</v>
      </c>
      <c r="AF4" s="3" t="s">
        <v>299</v>
      </c>
      <c r="AG4" s="3" t="s">
        <v>296</v>
      </c>
      <c r="AH4" s="3" t="s">
        <v>300</v>
      </c>
      <c r="AI4" s="3" t="s">
        <v>387</v>
      </c>
      <c r="AJ4" s="3" t="s">
        <v>301</v>
      </c>
      <c r="AK4" s="3" t="s">
        <v>302</v>
      </c>
      <c r="AL4" s="36" t="s">
        <v>303</v>
      </c>
      <c r="AM4" s="3" t="s">
        <v>326</v>
      </c>
      <c r="AN4" s="3" t="s">
        <v>327</v>
      </c>
      <c r="AO4" s="3" t="s">
        <v>328</v>
      </c>
      <c r="AP4" s="3" t="s">
        <v>304</v>
      </c>
      <c r="AQ4" s="3" t="s">
        <v>305</v>
      </c>
      <c r="AR4" s="3" t="s">
        <v>388</v>
      </c>
      <c r="AS4" s="3" t="s">
        <v>306</v>
      </c>
      <c r="AT4" s="3" t="s">
        <v>307</v>
      </c>
      <c r="AU4" s="36" t="s">
        <v>308</v>
      </c>
      <c r="AV4" s="39" t="s">
        <v>321</v>
      </c>
      <c r="AW4" s="3" t="s">
        <v>323</v>
      </c>
      <c r="AX4" s="3" t="s">
        <v>324</v>
      </c>
      <c r="AY4" s="3" t="s">
        <v>325</v>
      </c>
      <c r="AZ4" s="3" t="s">
        <v>322</v>
      </c>
      <c r="BA4" s="3" t="s">
        <v>390</v>
      </c>
      <c r="BB4" s="3" t="s">
        <v>389</v>
      </c>
      <c r="BC4" s="3" t="s">
        <v>391</v>
      </c>
      <c r="BD4" s="3" t="s">
        <v>392</v>
      </c>
      <c r="BE4" s="39" t="s">
        <v>321</v>
      </c>
      <c r="BF4" s="46" t="s">
        <v>334</v>
      </c>
      <c r="BG4" s="47" t="s">
        <v>335</v>
      </c>
      <c r="BH4" s="48" t="s">
        <v>336</v>
      </c>
      <c r="BI4" s="48" t="s">
        <v>337</v>
      </c>
      <c r="BJ4" s="48" t="s">
        <v>338</v>
      </c>
      <c r="BK4" s="49" t="s">
        <v>339</v>
      </c>
    </row>
    <row r="5" spans="1:63" ht="17.25" x14ac:dyDescent="0.3">
      <c r="A5" s="20"/>
      <c r="B5" s="21"/>
      <c r="C5" s="3">
        <v>25</v>
      </c>
      <c r="D5" s="3">
        <v>50</v>
      </c>
      <c r="E5" s="3">
        <v>25</v>
      </c>
      <c r="F5" s="3">
        <v>20</v>
      </c>
      <c r="G5" s="3">
        <v>80</v>
      </c>
      <c r="H5" s="3">
        <v>100</v>
      </c>
      <c r="I5" s="33">
        <v>200</v>
      </c>
      <c r="J5" s="33">
        <v>100</v>
      </c>
      <c r="K5" s="10"/>
      <c r="L5" s="3">
        <v>25</v>
      </c>
      <c r="M5" s="3">
        <v>50</v>
      </c>
      <c r="N5" s="3">
        <v>25</v>
      </c>
      <c r="O5" s="3">
        <v>20</v>
      </c>
      <c r="P5" s="3">
        <v>80</v>
      </c>
      <c r="Q5" s="3">
        <v>100</v>
      </c>
      <c r="R5" s="33">
        <v>200</v>
      </c>
      <c r="S5" s="33">
        <v>100</v>
      </c>
      <c r="T5" s="33"/>
      <c r="U5" s="55">
        <v>25</v>
      </c>
      <c r="V5" s="55">
        <v>50</v>
      </c>
      <c r="W5" s="55">
        <v>25</v>
      </c>
      <c r="X5" s="55">
        <v>20</v>
      </c>
      <c r="Y5" s="55">
        <v>80</v>
      </c>
      <c r="Z5" s="55">
        <v>100</v>
      </c>
      <c r="AA5" s="57">
        <v>200</v>
      </c>
      <c r="AB5" s="57">
        <v>100</v>
      </c>
      <c r="AC5" s="58"/>
      <c r="AD5" s="3">
        <v>25</v>
      </c>
      <c r="AE5" s="3">
        <v>50</v>
      </c>
      <c r="AF5" s="3">
        <v>25</v>
      </c>
      <c r="AG5" s="3">
        <v>20</v>
      </c>
      <c r="AH5" s="3">
        <v>80</v>
      </c>
      <c r="AI5" s="3">
        <v>100</v>
      </c>
      <c r="AJ5" s="33">
        <v>200</v>
      </c>
      <c r="AK5" s="33">
        <v>100</v>
      </c>
      <c r="AL5" s="10"/>
      <c r="AM5" s="3">
        <v>25</v>
      </c>
      <c r="AN5" s="3">
        <v>50</v>
      </c>
      <c r="AO5" s="3">
        <v>25</v>
      </c>
      <c r="AP5" s="3">
        <v>20</v>
      </c>
      <c r="AQ5" s="3">
        <v>80</v>
      </c>
      <c r="AR5" s="3">
        <v>100</v>
      </c>
      <c r="AS5" s="33">
        <v>200</v>
      </c>
      <c r="AT5" s="33">
        <v>100</v>
      </c>
      <c r="AU5" s="10"/>
      <c r="AV5" s="10"/>
      <c r="AW5" s="3">
        <v>25</v>
      </c>
      <c r="AX5" s="3">
        <v>50</v>
      </c>
      <c r="AY5" s="3">
        <v>25</v>
      </c>
      <c r="AZ5" s="3">
        <v>20</v>
      </c>
      <c r="BA5" s="3">
        <v>80</v>
      </c>
      <c r="BB5" s="3">
        <v>100</v>
      </c>
      <c r="BC5" s="33">
        <v>200</v>
      </c>
      <c r="BD5" s="33">
        <v>100</v>
      </c>
      <c r="BE5" s="10"/>
      <c r="BF5" s="42"/>
      <c r="BG5" s="44"/>
      <c r="BH5" s="44"/>
      <c r="BI5" s="44"/>
      <c r="BJ5" s="44"/>
      <c r="BK5" s="44"/>
    </row>
    <row r="6" spans="1:63" ht="25.5" x14ac:dyDescent="0.25">
      <c r="A6" s="2" t="s">
        <v>367</v>
      </c>
      <c r="B6" s="5" t="s">
        <v>134</v>
      </c>
      <c r="C6" s="1">
        <v>11</v>
      </c>
      <c r="D6" s="1">
        <v>32</v>
      </c>
      <c r="E6" s="1">
        <v>19</v>
      </c>
      <c r="F6" s="1">
        <v>16</v>
      </c>
      <c r="G6" s="1">
        <v>55</v>
      </c>
      <c r="H6" s="1">
        <f>F6+G6</f>
        <v>71</v>
      </c>
      <c r="I6" s="1">
        <f t="shared" ref="I6" si="0">ROUND(SUM(C6:G6),0)</f>
        <v>133</v>
      </c>
      <c r="J6" s="1">
        <f t="shared" ref="J6" si="1">ROUND(I6/2,0)</f>
        <v>67</v>
      </c>
      <c r="K6" s="10"/>
      <c r="L6" s="1">
        <v>8</v>
      </c>
      <c r="M6" s="1">
        <v>47</v>
      </c>
      <c r="N6" s="1">
        <v>10</v>
      </c>
      <c r="O6" s="1">
        <v>19</v>
      </c>
      <c r="P6" s="1">
        <v>48</v>
      </c>
      <c r="Q6" s="1">
        <f>O6+P6</f>
        <v>67</v>
      </c>
      <c r="R6" s="1">
        <f t="shared" ref="R6" si="2">ROUND(SUM(L6:P6),0)</f>
        <v>132</v>
      </c>
      <c r="S6" s="1">
        <f t="shared" ref="S6" si="3">ROUND(R6/2,0)</f>
        <v>66</v>
      </c>
      <c r="T6" s="1"/>
      <c r="U6" s="59">
        <v>23</v>
      </c>
      <c r="V6" s="59">
        <v>42</v>
      </c>
      <c r="W6" s="59">
        <v>18</v>
      </c>
      <c r="X6" s="59">
        <v>19</v>
      </c>
      <c r="Y6" s="59">
        <v>72</v>
      </c>
      <c r="Z6" s="1">
        <f>X6+Y6</f>
        <v>91</v>
      </c>
      <c r="AA6" s="59">
        <f t="shared" ref="AA6" si="4">ROUND(SUM(U6:Y6),0)</f>
        <v>174</v>
      </c>
      <c r="AB6" s="59">
        <f t="shared" ref="AB6" si="5">ROUND(AA6/2,0)</f>
        <v>87</v>
      </c>
      <c r="AC6" s="58"/>
      <c r="AD6" s="1">
        <v>17</v>
      </c>
      <c r="AE6" s="1">
        <v>18</v>
      </c>
      <c r="AF6" s="1">
        <v>10</v>
      </c>
      <c r="AG6" s="1">
        <v>17</v>
      </c>
      <c r="AH6" s="1">
        <v>41</v>
      </c>
      <c r="AI6" s="1">
        <f>AG6+AH6</f>
        <v>58</v>
      </c>
      <c r="AJ6" s="1">
        <f t="shared" ref="AJ6" si="6">ROUND(SUM(AD6:AH6),0)</f>
        <v>103</v>
      </c>
      <c r="AK6" s="1">
        <f t="shared" ref="AK6" si="7">ROUND(AJ6/2,0)</f>
        <v>52</v>
      </c>
      <c r="AL6" s="10"/>
      <c r="AM6" s="1">
        <v>19</v>
      </c>
      <c r="AN6" s="1">
        <v>45</v>
      </c>
      <c r="AO6" s="1">
        <v>16</v>
      </c>
      <c r="AP6" s="1">
        <v>17</v>
      </c>
      <c r="AQ6" s="1">
        <v>64</v>
      </c>
      <c r="AR6" s="1">
        <f>AP6+AQ6</f>
        <v>81</v>
      </c>
      <c r="AS6" s="1">
        <f t="shared" ref="AS6" si="8">ROUND(SUM(AM6:AQ6),0)</f>
        <v>161</v>
      </c>
      <c r="AT6" s="1">
        <f t="shared" ref="AT6" si="9">ROUND(AS6/2,0)</f>
        <v>81</v>
      </c>
      <c r="AU6" s="10"/>
      <c r="AV6" s="22"/>
      <c r="AW6" s="1">
        <v>0</v>
      </c>
      <c r="AX6" s="1">
        <v>15</v>
      </c>
      <c r="AY6" s="28">
        <v>13</v>
      </c>
      <c r="AZ6" s="28">
        <v>16</v>
      </c>
      <c r="BA6" s="28">
        <v>66</v>
      </c>
      <c r="BB6" s="1">
        <f>AZ6+BA6</f>
        <v>82</v>
      </c>
      <c r="BC6" s="28">
        <v>110</v>
      </c>
      <c r="BD6" s="28">
        <v>55</v>
      </c>
      <c r="BE6" s="10"/>
      <c r="BF6" s="28" t="s">
        <v>371</v>
      </c>
      <c r="BG6" s="28" t="s">
        <v>371</v>
      </c>
      <c r="BH6" s="10"/>
      <c r="BI6" s="50">
        <f>ROUND(J6+S6+AB6+AK6+AT6+BD6,0)</f>
        <v>408</v>
      </c>
      <c r="BJ6" s="51">
        <f t="shared" ref="BJ6" si="10">BI6/6</f>
        <v>68</v>
      </c>
      <c r="BK6" s="45" t="str">
        <f t="shared" ref="BK6" si="11">IF(BJ6&gt;=75,"GRADE I with Distinction",IF(BJ6&gt;=60,"GRADE I",IF(BJ6&gt;=45,"GRADE II",IF(BJ6&gt;=35,"PASS","FAIL"))))</f>
        <v>GRADE I</v>
      </c>
    </row>
    <row r="7" spans="1:63" ht="51" x14ac:dyDescent="0.25">
      <c r="A7" s="2" t="s">
        <v>368</v>
      </c>
      <c r="B7" s="5" t="s">
        <v>227</v>
      </c>
      <c r="C7" s="1">
        <v>4</v>
      </c>
      <c r="D7" s="1">
        <v>15</v>
      </c>
      <c r="E7" s="1">
        <v>9</v>
      </c>
      <c r="F7" s="1">
        <v>11</v>
      </c>
      <c r="G7" s="1">
        <v>30</v>
      </c>
      <c r="H7" s="1">
        <f t="shared" ref="H7:H10" si="12">F7+G7</f>
        <v>41</v>
      </c>
      <c r="I7" s="1">
        <f>ROUND(SUM(C7:G7),0)</f>
        <v>69</v>
      </c>
      <c r="J7" s="1">
        <f>ROUND(I7/2,0)</f>
        <v>35</v>
      </c>
      <c r="K7" s="10"/>
      <c r="L7" s="1">
        <v>5</v>
      </c>
      <c r="M7" s="1">
        <v>14</v>
      </c>
      <c r="N7" s="1">
        <v>8</v>
      </c>
      <c r="O7" s="1">
        <v>14</v>
      </c>
      <c r="P7" s="1">
        <v>19</v>
      </c>
      <c r="Q7" s="1">
        <f t="shared" ref="Q7:Q10" si="13">O7+P7</f>
        <v>33</v>
      </c>
      <c r="R7" s="1">
        <f>ROUND(SUM(L7:P7),0)</f>
        <v>60</v>
      </c>
      <c r="S7" s="1">
        <f>ROUND(R7/2,0)</f>
        <v>30</v>
      </c>
      <c r="T7" s="1">
        <v>5</v>
      </c>
      <c r="U7" s="59">
        <v>16</v>
      </c>
      <c r="V7" s="59">
        <v>26</v>
      </c>
      <c r="W7" s="59">
        <v>9</v>
      </c>
      <c r="X7" s="59">
        <v>18</v>
      </c>
      <c r="Y7" s="59">
        <v>47</v>
      </c>
      <c r="Z7" s="1">
        <f t="shared" ref="Z7:Z10" si="14">X7+Y7</f>
        <v>65</v>
      </c>
      <c r="AA7" s="59">
        <f>ROUND(SUM(U7:Y7),0)</f>
        <v>116</v>
      </c>
      <c r="AB7" s="59">
        <f>ROUND(AA7/2,0)</f>
        <v>58</v>
      </c>
      <c r="AC7" s="58"/>
      <c r="AD7" s="1">
        <v>9</v>
      </c>
      <c r="AE7" s="1">
        <v>14</v>
      </c>
      <c r="AF7" s="1">
        <v>6</v>
      </c>
      <c r="AG7" s="1">
        <v>15</v>
      </c>
      <c r="AH7" s="1">
        <v>27</v>
      </c>
      <c r="AI7" s="1">
        <f t="shared" ref="AI7:AI10" si="15">AG7+AH7</f>
        <v>42</v>
      </c>
      <c r="AJ7" s="1">
        <f>ROUND(SUM(AD7:AH7),0)</f>
        <v>71</v>
      </c>
      <c r="AK7" s="1">
        <f>ROUND(AJ7/2,0)</f>
        <v>36</v>
      </c>
      <c r="AL7" s="10"/>
      <c r="AM7" s="1">
        <v>8</v>
      </c>
      <c r="AN7" s="1">
        <v>17</v>
      </c>
      <c r="AO7" s="1">
        <v>10</v>
      </c>
      <c r="AP7" s="1">
        <v>15</v>
      </c>
      <c r="AQ7" s="1">
        <v>47</v>
      </c>
      <c r="AR7" s="1">
        <f t="shared" ref="AR7:AR10" si="16">AP7+AQ7</f>
        <v>62</v>
      </c>
      <c r="AS7" s="1">
        <f>ROUND(SUM(AM7:AQ7),0)</f>
        <v>97</v>
      </c>
      <c r="AT7" s="1">
        <f>ROUND(AS7/2,0)</f>
        <v>49</v>
      </c>
      <c r="AU7" s="10"/>
      <c r="AV7" s="1"/>
      <c r="AW7" s="1">
        <v>7</v>
      </c>
      <c r="AX7" s="1">
        <v>6</v>
      </c>
      <c r="AY7" s="28">
        <v>11</v>
      </c>
      <c r="AZ7" s="28">
        <v>17</v>
      </c>
      <c r="BA7" s="28">
        <v>43</v>
      </c>
      <c r="BB7" s="1">
        <f t="shared" ref="BB7:BB10" si="17">AZ7+BA7</f>
        <v>60</v>
      </c>
      <c r="BC7" s="28">
        <v>84</v>
      </c>
      <c r="BD7" s="28">
        <v>42</v>
      </c>
      <c r="BE7" s="10"/>
      <c r="BF7" s="28" t="s">
        <v>371</v>
      </c>
      <c r="BG7" s="28" t="s">
        <v>372</v>
      </c>
      <c r="BH7" s="10">
        <v>5</v>
      </c>
      <c r="BI7" s="50">
        <f t="shared" ref="BI7:BI9" si="18">ROUND(J7+S7+AB7+AK7+AT7+BD7,0)</f>
        <v>250</v>
      </c>
      <c r="BJ7" s="51">
        <f>BI7/6</f>
        <v>41.666666666666664</v>
      </c>
      <c r="BK7" s="45" t="s">
        <v>375</v>
      </c>
    </row>
    <row r="8" spans="1:63" x14ac:dyDescent="0.25">
      <c r="A8" s="1" t="s">
        <v>369</v>
      </c>
      <c r="B8" s="12" t="s">
        <v>29</v>
      </c>
      <c r="C8" s="1">
        <v>9</v>
      </c>
      <c r="D8" s="1">
        <v>23</v>
      </c>
      <c r="E8" s="1">
        <v>15</v>
      </c>
      <c r="F8" s="1">
        <v>17</v>
      </c>
      <c r="G8" s="1">
        <v>47</v>
      </c>
      <c r="H8" s="1">
        <f t="shared" si="12"/>
        <v>64</v>
      </c>
      <c r="I8" s="1">
        <f t="shared" ref="I8:I10" si="19">ROUND(SUM(C8:G8),0)</f>
        <v>111</v>
      </c>
      <c r="J8" s="1">
        <f t="shared" ref="J8:J10" si="20">ROUND(I8/2,0)</f>
        <v>56</v>
      </c>
      <c r="K8" s="1"/>
      <c r="L8" s="1">
        <v>10</v>
      </c>
      <c r="M8" s="1">
        <v>28</v>
      </c>
      <c r="N8" s="1">
        <v>12</v>
      </c>
      <c r="O8" s="1">
        <v>14</v>
      </c>
      <c r="P8" s="1">
        <v>49</v>
      </c>
      <c r="Q8" s="1">
        <f t="shared" si="13"/>
        <v>63</v>
      </c>
      <c r="R8" s="1">
        <f t="shared" ref="R8:R10" si="21">ROUND(SUM(L8:P8),0)</f>
        <v>113</v>
      </c>
      <c r="S8" s="1">
        <f t="shared" ref="S8:S10" si="22">ROUND(R8/2,0)</f>
        <v>57</v>
      </c>
      <c r="T8" s="1"/>
      <c r="U8" s="1">
        <v>14</v>
      </c>
      <c r="V8" s="1">
        <v>41</v>
      </c>
      <c r="W8" s="1">
        <v>15</v>
      </c>
      <c r="X8" s="1">
        <v>14</v>
      </c>
      <c r="Y8" s="1">
        <v>50</v>
      </c>
      <c r="Z8" s="1">
        <f t="shared" si="14"/>
        <v>64</v>
      </c>
      <c r="AA8" s="1">
        <f t="shared" ref="AA8:AA10" si="23">ROUND(SUM(U8:Y8),0)</f>
        <v>134</v>
      </c>
      <c r="AB8" s="1">
        <f t="shared" ref="AB8:AB10" si="24">ROUND(AA8/2,0)</f>
        <v>67</v>
      </c>
      <c r="AC8" s="1"/>
      <c r="AD8" s="1">
        <v>11</v>
      </c>
      <c r="AE8" s="1">
        <v>7</v>
      </c>
      <c r="AF8" s="1">
        <v>6</v>
      </c>
      <c r="AG8" s="1">
        <v>12</v>
      </c>
      <c r="AH8" s="1">
        <v>27</v>
      </c>
      <c r="AI8" s="1">
        <f t="shared" si="15"/>
        <v>39</v>
      </c>
      <c r="AJ8" s="1">
        <f t="shared" ref="AJ8:AJ10" si="25">ROUND(SUM(AD8:AH8),0)</f>
        <v>63</v>
      </c>
      <c r="AK8" s="1">
        <f t="shared" ref="AK8:AK10" si="26">ROUND(AJ8/2,0)</f>
        <v>32</v>
      </c>
      <c r="AL8" s="1">
        <v>3</v>
      </c>
      <c r="AM8" s="1">
        <v>14</v>
      </c>
      <c r="AN8" s="1">
        <v>26</v>
      </c>
      <c r="AO8" s="1">
        <v>9</v>
      </c>
      <c r="AP8" s="1">
        <v>17</v>
      </c>
      <c r="AQ8" s="1">
        <v>47</v>
      </c>
      <c r="AR8" s="1">
        <f t="shared" si="16"/>
        <v>64</v>
      </c>
      <c r="AS8" s="1">
        <f t="shared" ref="AS8:AS10" si="27">ROUND(SUM(AM8:AQ8),0)</f>
        <v>113</v>
      </c>
      <c r="AT8" s="1">
        <f t="shared" ref="AT8:AT10" si="28">ROUND(AS8/2,0)</f>
        <v>57</v>
      </c>
      <c r="AU8" s="1"/>
      <c r="AV8" s="1"/>
      <c r="AW8" s="1">
        <v>11</v>
      </c>
      <c r="AX8" s="1">
        <v>9</v>
      </c>
      <c r="AY8" s="1">
        <v>9</v>
      </c>
      <c r="AZ8" s="1">
        <v>10</v>
      </c>
      <c r="BA8" s="1">
        <v>54</v>
      </c>
      <c r="BB8" s="1">
        <f t="shared" si="17"/>
        <v>64</v>
      </c>
      <c r="BC8" s="1">
        <v>93</v>
      </c>
      <c r="BD8" s="28">
        <v>47</v>
      </c>
      <c r="BE8" s="1"/>
      <c r="BF8" s="1" t="s">
        <v>371</v>
      </c>
      <c r="BG8" s="1" t="s">
        <v>371</v>
      </c>
      <c r="BH8" s="1">
        <v>3</v>
      </c>
      <c r="BI8" s="50">
        <f t="shared" si="18"/>
        <v>316</v>
      </c>
      <c r="BJ8" s="70">
        <f t="shared" ref="BJ8:BJ9" si="29">BI8/6</f>
        <v>52.666666666666664</v>
      </c>
      <c r="BK8" s="45" t="s">
        <v>375</v>
      </c>
    </row>
    <row r="9" spans="1:63" x14ac:dyDescent="0.25">
      <c r="A9" s="1" t="s">
        <v>370</v>
      </c>
      <c r="B9" s="12" t="s">
        <v>91</v>
      </c>
      <c r="C9" s="1">
        <v>7</v>
      </c>
      <c r="D9" s="1">
        <v>22</v>
      </c>
      <c r="E9" s="1">
        <v>13</v>
      </c>
      <c r="F9" s="1">
        <v>12</v>
      </c>
      <c r="G9" s="1">
        <v>42</v>
      </c>
      <c r="H9" s="1">
        <f t="shared" si="12"/>
        <v>54</v>
      </c>
      <c r="I9" s="1">
        <f t="shared" si="19"/>
        <v>96</v>
      </c>
      <c r="J9" s="1">
        <f t="shared" si="20"/>
        <v>48</v>
      </c>
      <c r="K9" s="1"/>
      <c r="L9" s="1">
        <v>6</v>
      </c>
      <c r="M9" s="1">
        <v>7</v>
      </c>
      <c r="N9" s="1">
        <v>8</v>
      </c>
      <c r="O9" s="1">
        <v>12</v>
      </c>
      <c r="P9" s="1">
        <v>17</v>
      </c>
      <c r="Q9" s="1">
        <f t="shared" si="13"/>
        <v>29</v>
      </c>
      <c r="R9" s="1">
        <f t="shared" si="21"/>
        <v>50</v>
      </c>
      <c r="S9" s="1">
        <f t="shared" si="22"/>
        <v>25</v>
      </c>
      <c r="T9" s="1">
        <v>10</v>
      </c>
      <c r="U9" s="1">
        <v>14</v>
      </c>
      <c r="V9" s="1">
        <v>22</v>
      </c>
      <c r="W9" s="1">
        <v>15</v>
      </c>
      <c r="X9" s="1">
        <v>18</v>
      </c>
      <c r="Y9" s="1">
        <v>48</v>
      </c>
      <c r="Z9" s="1">
        <f t="shared" si="14"/>
        <v>66</v>
      </c>
      <c r="AA9" s="1">
        <f t="shared" si="23"/>
        <v>117</v>
      </c>
      <c r="AB9" s="1">
        <f t="shared" si="24"/>
        <v>59</v>
      </c>
      <c r="AC9" s="1"/>
      <c r="AD9" s="1">
        <v>11</v>
      </c>
      <c r="AE9" s="1">
        <v>16</v>
      </c>
      <c r="AF9" s="1">
        <v>6</v>
      </c>
      <c r="AG9" s="1">
        <v>14</v>
      </c>
      <c r="AH9" s="1">
        <v>21</v>
      </c>
      <c r="AI9" s="1">
        <f t="shared" si="15"/>
        <v>35</v>
      </c>
      <c r="AJ9" s="1">
        <f t="shared" si="25"/>
        <v>68</v>
      </c>
      <c r="AK9" s="1">
        <f t="shared" si="26"/>
        <v>34</v>
      </c>
      <c r="AL9" s="1">
        <v>1</v>
      </c>
      <c r="AM9" s="1">
        <v>3</v>
      </c>
      <c r="AN9" s="1">
        <v>31</v>
      </c>
      <c r="AO9" s="1">
        <v>10</v>
      </c>
      <c r="AP9" s="1">
        <v>15</v>
      </c>
      <c r="AQ9" s="1">
        <v>40</v>
      </c>
      <c r="AR9" s="1">
        <f t="shared" si="16"/>
        <v>55</v>
      </c>
      <c r="AS9" s="1">
        <f t="shared" si="27"/>
        <v>99</v>
      </c>
      <c r="AT9" s="1">
        <f t="shared" si="28"/>
        <v>50</v>
      </c>
      <c r="AU9" s="1"/>
      <c r="AV9" s="1"/>
      <c r="AW9" s="1">
        <v>2</v>
      </c>
      <c r="AX9" s="1">
        <v>20</v>
      </c>
      <c r="AY9" s="1">
        <v>3</v>
      </c>
      <c r="AZ9" s="1">
        <v>12</v>
      </c>
      <c r="BA9" s="1">
        <v>41</v>
      </c>
      <c r="BB9" s="1">
        <f t="shared" si="17"/>
        <v>53</v>
      </c>
      <c r="BC9" s="1">
        <f>SUM(AW9:BA9)</f>
        <v>78</v>
      </c>
      <c r="BD9" s="28">
        <f>78/2</f>
        <v>39</v>
      </c>
      <c r="BE9" s="1"/>
      <c r="BF9" s="1" t="s">
        <v>371</v>
      </c>
      <c r="BG9" s="1" t="s">
        <v>371</v>
      </c>
      <c r="BH9" s="1">
        <v>11</v>
      </c>
      <c r="BI9" s="50">
        <f t="shared" si="18"/>
        <v>255</v>
      </c>
      <c r="BJ9" s="70">
        <f t="shared" si="29"/>
        <v>42.5</v>
      </c>
      <c r="BK9" s="45" t="s">
        <v>375</v>
      </c>
    </row>
    <row r="10" spans="1:63" x14ac:dyDescent="0.25">
      <c r="A10" s="1">
        <v>116</v>
      </c>
      <c r="B10" s="8" t="s">
        <v>124</v>
      </c>
      <c r="C10" s="1">
        <v>8</v>
      </c>
      <c r="D10" s="1">
        <v>19</v>
      </c>
      <c r="E10" s="1">
        <v>9</v>
      </c>
      <c r="F10" s="1">
        <v>15</v>
      </c>
      <c r="G10" s="1">
        <v>36</v>
      </c>
      <c r="H10" s="1">
        <f t="shared" si="12"/>
        <v>51</v>
      </c>
      <c r="I10" s="1">
        <f t="shared" si="19"/>
        <v>87</v>
      </c>
      <c r="J10" s="1">
        <f t="shared" si="20"/>
        <v>44</v>
      </c>
      <c r="K10" s="1"/>
      <c r="L10" s="1">
        <v>0</v>
      </c>
      <c r="M10" s="1">
        <v>23</v>
      </c>
      <c r="N10" s="1">
        <v>7</v>
      </c>
      <c r="O10" s="1">
        <v>16</v>
      </c>
      <c r="P10" s="1">
        <v>25</v>
      </c>
      <c r="Q10" s="1">
        <f t="shared" si="13"/>
        <v>41</v>
      </c>
      <c r="R10" s="1">
        <f t="shared" si="21"/>
        <v>71</v>
      </c>
      <c r="S10" s="1">
        <f t="shared" si="22"/>
        <v>36</v>
      </c>
      <c r="T10" s="1"/>
      <c r="U10" s="1" t="s">
        <v>357</v>
      </c>
      <c r="V10" s="1">
        <v>25</v>
      </c>
      <c r="W10" s="1">
        <v>6</v>
      </c>
      <c r="X10" s="1">
        <v>11</v>
      </c>
      <c r="Y10" s="1">
        <v>35</v>
      </c>
      <c r="Z10" s="1">
        <f t="shared" si="14"/>
        <v>46</v>
      </c>
      <c r="AA10" s="1">
        <f t="shared" si="23"/>
        <v>77</v>
      </c>
      <c r="AB10" s="1">
        <f t="shared" si="24"/>
        <v>39</v>
      </c>
      <c r="AC10" s="1"/>
      <c r="AD10" s="1">
        <v>14</v>
      </c>
      <c r="AE10" s="1">
        <v>15</v>
      </c>
      <c r="AF10" s="1">
        <v>5</v>
      </c>
      <c r="AG10" s="1">
        <v>5</v>
      </c>
      <c r="AH10" s="1">
        <v>21</v>
      </c>
      <c r="AI10" s="1">
        <f t="shared" si="15"/>
        <v>26</v>
      </c>
      <c r="AJ10" s="1">
        <f t="shared" si="25"/>
        <v>60</v>
      </c>
      <c r="AK10" s="1">
        <f t="shared" si="26"/>
        <v>30</v>
      </c>
      <c r="AL10" s="1">
        <v>5</v>
      </c>
      <c r="AM10" s="1">
        <v>18</v>
      </c>
      <c r="AN10" s="83">
        <v>29</v>
      </c>
      <c r="AO10" s="1">
        <v>8</v>
      </c>
      <c r="AP10" s="1">
        <v>14</v>
      </c>
      <c r="AQ10" s="1">
        <v>30</v>
      </c>
      <c r="AR10" s="1">
        <f t="shared" si="16"/>
        <v>44</v>
      </c>
      <c r="AS10" s="1">
        <f t="shared" si="27"/>
        <v>99</v>
      </c>
      <c r="AT10" s="1">
        <f t="shared" si="28"/>
        <v>50</v>
      </c>
      <c r="AU10" s="1"/>
      <c r="AV10" s="10"/>
      <c r="AW10" s="1">
        <v>8</v>
      </c>
      <c r="AX10" s="1">
        <v>6</v>
      </c>
      <c r="AY10" s="28">
        <v>6</v>
      </c>
      <c r="AZ10" s="28">
        <v>14</v>
      </c>
      <c r="BA10" s="28">
        <v>30</v>
      </c>
      <c r="BB10" s="1">
        <f t="shared" si="17"/>
        <v>44</v>
      </c>
      <c r="BC10" s="28">
        <v>64</v>
      </c>
      <c r="BD10" s="28">
        <v>32</v>
      </c>
      <c r="BE10" s="28">
        <v>3</v>
      </c>
      <c r="BF10" s="28" t="s">
        <v>371</v>
      </c>
      <c r="BG10" s="28" t="s">
        <v>372</v>
      </c>
      <c r="BH10" s="10">
        <v>8</v>
      </c>
      <c r="BI10" s="28">
        <v>199</v>
      </c>
      <c r="BJ10" s="28">
        <v>33.166666666666664</v>
      </c>
      <c r="BK10" s="28" t="s">
        <v>375</v>
      </c>
    </row>
    <row r="12" spans="1:63" ht="18" customHeight="1" x14ac:dyDescent="0.25"/>
  </sheetData>
  <mergeCells count="8">
    <mergeCell ref="AW3:BE3"/>
    <mergeCell ref="A1:AU1"/>
    <mergeCell ref="A2:AU2"/>
    <mergeCell ref="C3:K3"/>
    <mergeCell ref="L3:T3"/>
    <mergeCell ref="U3:AC3"/>
    <mergeCell ref="AD3:AL3"/>
    <mergeCell ref="AM3:AU3"/>
  </mergeCells>
  <conditionalFormatting sqref="J10">
    <cfRule type="cellIs" dxfId="4" priority="5" operator="lessThan">
      <formula>35</formula>
    </cfRule>
  </conditionalFormatting>
  <conditionalFormatting sqref="S10">
    <cfRule type="cellIs" dxfId="3" priority="4" operator="lessThan">
      <formula>35</formula>
    </cfRule>
  </conditionalFormatting>
  <conditionalFormatting sqref="AB10">
    <cfRule type="cellIs" dxfId="2" priority="3" operator="lessThan">
      <formula>35</formula>
    </cfRule>
  </conditionalFormatting>
  <conditionalFormatting sqref="AK10">
    <cfRule type="cellIs" dxfId="1" priority="1" operator="lessThan">
      <formula>35</formula>
    </cfRule>
  </conditionalFormatting>
  <conditionalFormatting sqref="AT10">
    <cfRule type="cellIs" dxfId="0" priority="2" operator="lessThan">
      <formula>35</formula>
    </cfRule>
  </conditionalFormatting>
  <pageMargins left="0.7" right="0.7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5482-D650-4D98-AC01-E72E56F15C51}">
  <dimension ref="A1:B121"/>
  <sheetViews>
    <sheetView tabSelected="1" workbookViewId="0">
      <selection activeCell="H15" sqref="H15"/>
    </sheetView>
  </sheetViews>
  <sheetFormatPr defaultRowHeight="15" x14ac:dyDescent="0.25"/>
  <cols>
    <col min="2" max="2" width="37.7109375" customWidth="1"/>
  </cols>
  <sheetData>
    <row r="1" spans="1:2" s="102" customFormat="1" ht="25.5" customHeight="1" x14ac:dyDescent="0.2">
      <c r="A1" s="21" t="s">
        <v>0</v>
      </c>
      <c r="B1" s="21" t="s">
        <v>250</v>
      </c>
    </row>
    <row r="2" spans="1:2" s="102" customFormat="1" x14ac:dyDescent="0.2">
      <c r="A2" s="1">
        <v>1</v>
      </c>
      <c r="B2" s="12" t="s">
        <v>128</v>
      </c>
    </row>
    <row r="3" spans="1:2" s="102" customFormat="1" x14ac:dyDescent="0.2">
      <c r="A3" s="1">
        <v>2</v>
      </c>
      <c r="B3" s="12" t="s">
        <v>129</v>
      </c>
    </row>
    <row r="4" spans="1:2" s="102" customFormat="1" x14ac:dyDescent="0.2">
      <c r="A4" s="1">
        <v>3</v>
      </c>
      <c r="B4" s="12" t="s">
        <v>130</v>
      </c>
    </row>
    <row r="5" spans="1:2" s="102" customFormat="1" x14ac:dyDescent="0.2">
      <c r="A5" s="1">
        <v>4</v>
      </c>
      <c r="B5" s="12" t="s">
        <v>131</v>
      </c>
    </row>
    <row r="6" spans="1:2" s="102" customFormat="1" x14ac:dyDescent="0.2">
      <c r="A6" s="1">
        <v>5</v>
      </c>
      <c r="B6" s="12" t="s">
        <v>132</v>
      </c>
    </row>
    <row r="7" spans="1:2" s="102" customFormat="1" x14ac:dyDescent="0.2">
      <c r="A7" s="1">
        <v>6</v>
      </c>
      <c r="B7" s="12" t="s">
        <v>133</v>
      </c>
    </row>
    <row r="8" spans="1:2" s="102" customFormat="1" x14ac:dyDescent="0.2">
      <c r="A8" s="1">
        <v>7</v>
      </c>
      <c r="B8" s="12" t="s">
        <v>134</v>
      </c>
    </row>
    <row r="9" spans="1:2" s="102" customFormat="1" x14ac:dyDescent="0.2">
      <c r="A9" s="1">
        <v>8</v>
      </c>
      <c r="B9" s="12" t="s">
        <v>135</v>
      </c>
    </row>
    <row r="10" spans="1:2" s="102" customFormat="1" x14ac:dyDescent="0.2">
      <c r="A10" s="1">
        <v>9</v>
      </c>
      <c r="B10" s="12" t="s">
        <v>136</v>
      </c>
    </row>
    <row r="11" spans="1:2" s="102" customFormat="1" x14ac:dyDescent="0.2">
      <c r="A11" s="1">
        <v>10</v>
      </c>
      <c r="B11" s="12" t="s">
        <v>137</v>
      </c>
    </row>
    <row r="12" spans="1:2" s="102" customFormat="1" x14ac:dyDescent="0.2">
      <c r="A12" s="1">
        <v>11</v>
      </c>
      <c r="B12" s="12" t="s">
        <v>138</v>
      </c>
    </row>
    <row r="13" spans="1:2" s="102" customFormat="1" x14ac:dyDescent="0.2">
      <c r="A13" s="1">
        <v>12</v>
      </c>
      <c r="B13" s="12" t="s">
        <v>139</v>
      </c>
    </row>
    <row r="14" spans="1:2" s="102" customFormat="1" x14ac:dyDescent="0.2">
      <c r="A14" s="1">
        <v>13</v>
      </c>
      <c r="B14" s="12" t="s">
        <v>140</v>
      </c>
    </row>
    <row r="15" spans="1:2" s="102" customFormat="1" x14ac:dyDescent="0.2">
      <c r="A15" s="1">
        <v>14</v>
      </c>
      <c r="B15" s="12" t="s">
        <v>141</v>
      </c>
    </row>
    <row r="16" spans="1:2" s="102" customFormat="1" x14ac:dyDescent="0.2">
      <c r="A16" s="1">
        <v>15</v>
      </c>
      <c r="B16" s="12" t="s">
        <v>142</v>
      </c>
    </row>
    <row r="17" spans="1:2" s="102" customFormat="1" x14ac:dyDescent="0.2">
      <c r="A17" s="1">
        <v>16</v>
      </c>
      <c r="B17" s="12" t="s">
        <v>143</v>
      </c>
    </row>
    <row r="18" spans="1:2" s="102" customFormat="1" x14ac:dyDescent="0.2">
      <c r="A18" s="1">
        <v>17</v>
      </c>
      <c r="B18" s="12" t="s">
        <v>144</v>
      </c>
    </row>
    <row r="19" spans="1:2" s="102" customFormat="1" x14ac:dyDescent="0.2">
      <c r="A19" s="1">
        <v>18</v>
      </c>
      <c r="B19" s="12" t="s">
        <v>145</v>
      </c>
    </row>
    <row r="20" spans="1:2" s="102" customFormat="1" x14ac:dyDescent="0.2">
      <c r="A20" s="1">
        <v>19</v>
      </c>
      <c r="B20" s="12" t="s">
        <v>146</v>
      </c>
    </row>
    <row r="21" spans="1:2" s="102" customFormat="1" x14ac:dyDescent="0.2">
      <c r="A21" s="1">
        <v>20</v>
      </c>
      <c r="B21" s="12" t="s">
        <v>147</v>
      </c>
    </row>
    <row r="22" spans="1:2" s="102" customFormat="1" x14ac:dyDescent="0.2">
      <c r="A22" s="1">
        <v>21</v>
      </c>
      <c r="B22" s="12" t="s">
        <v>148</v>
      </c>
    </row>
    <row r="23" spans="1:2" s="102" customFormat="1" x14ac:dyDescent="0.2">
      <c r="A23" s="1">
        <v>22</v>
      </c>
      <c r="B23" s="12" t="s">
        <v>149</v>
      </c>
    </row>
    <row r="24" spans="1:2" s="102" customFormat="1" x14ac:dyDescent="0.2">
      <c r="A24" s="1">
        <v>23</v>
      </c>
      <c r="B24" s="12" t="s">
        <v>150</v>
      </c>
    </row>
    <row r="25" spans="1:2" s="102" customFormat="1" x14ac:dyDescent="0.2">
      <c r="A25" s="1">
        <v>24</v>
      </c>
      <c r="B25" s="12" t="s">
        <v>151</v>
      </c>
    </row>
    <row r="26" spans="1:2" s="102" customFormat="1" x14ac:dyDescent="0.2">
      <c r="A26" s="1">
        <v>25</v>
      </c>
      <c r="B26" s="12" t="s">
        <v>152</v>
      </c>
    </row>
    <row r="27" spans="1:2" s="102" customFormat="1" x14ac:dyDescent="0.2">
      <c r="A27" s="1">
        <v>26</v>
      </c>
      <c r="B27" s="12" t="s">
        <v>153</v>
      </c>
    </row>
    <row r="28" spans="1:2" s="102" customFormat="1" x14ac:dyDescent="0.2">
      <c r="A28" s="1">
        <v>27</v>
      </c>
      <c r="B28" s="12" t="s">
        <v>154</v>
      </c>
    </row>
    <row r="29" spans="1:2" s="102" customFormat="1" x14ac:dyDescent="0.2">
      <c r="A29" s="1">
        <v>28</v>
      </c>
      <c r="B29" s="12" t="s">
        <v>155</v>
      </c>
    </row>
    <row r="30" spans="1:2" s="102" customFormat="1" x14ac:dyDescent="0.2">
      <c r="A30" s="1">
        <v>29</v>
      </c>
      <c r="B30" s="12" t="s">
        <v>156</v>
      </c>
    </row>
    <row r="31" spans="1:2" s="102" customFormat="1" x14ac:dyDescent="0.2">
      <c r="A31" s="1">
        <v>30</v>
      </c>
      <c r="B31" s="12" t="s">
        <v>157</v>
      </c>
    </row>
    <row r="32" spans="1:2" s="102" customFormat="1" x14ac:dyDescent="0.2">
      <c r="A32" s="1">
        <v>31</v>
      </c>
      <c r="B32" s="12" t="s">
        <v>158</v>
      </c>
    </row>
    <row r="33" spans="1:2" s="102" customFormat="1" x14ac:dyDescent="0.2">
      <c r="A33" s="1">
        <v>32</v>
      </c>
      <c r="B33" s="12" t="s">
        <v>159</v>
      </c>
    </row>
    <row r="34" spans="1:2" s="102" customFormat="1" x14ac:dyDescent="0.2">
      <c r="A34" s="1">
        <v>33</v>
      </c>
      <c r="B34" s="12" t="s">
        <v>160</v>
      </c>
    </row>
    <row r="35" spans="1:2" s="102" customFormat="1" x14ac:dyDescent="0.2">
      <c r="A35" s="1">
        <v>34</v>
      </c>
      <c r="B35" s="12" t="s">
        <v>161</v>
      </c>
    </row>
    <row r="36" spans="1:2" s="102" customFormat="1" x14ac:dyDescent="0.2">
      <c r="A36" s="1">
        <v>35</v>
      </c>
      <c r="B36" s="12" t="s">
        <v>162</v>
      </c>
    </row>
    <row r="37" spans="1:2" s="102" customFormat="1" x14ac:dyDescent="0.2">
      <c r="A37" s="1">
        <v>36</v>
      </c>
      <c r="B37" s="12" t="s">
        <v>163</v>
      </c>
    </row>
    <row r="38" spans="1:2" s="102" customFormat="1" x14ac:dyDescent="0.2">
      <c r="A38" s="1">
        <v>37</v>
      </c>
      <c r="B38" s="12" t="s">
        <v>164</v>
      </c>
    </row>
    <row r="39" spans="1:2" s="102" customFormat="1" x14ac:dyDescent="0.2">
      <c r="A39" s="1">
        <v>38</v>
      </c>
      <c r="B39" s="12" t="s">
        <v>165</v>
      </c>
    </row>
    <row r="40" spans="1:2" s="102" customFormat="1" x14ac:dyDescent="0.2">
      <c r="A40" s="1">
        <v>39</v>
      </c>
      <c r="B40" s="12" t="s">
        <v>166</v>
      </c>
    </row>
    <row r="41" spans="1:2" s="102" customFormat="1" x14ac:dyDescent="0.2">
      <c r="A41" s="1">
        <v>40</v>
      </c>
      <c r="B41" s="12" t="s">
        <v>167</v>
      </c>
    </row>
    <row r="42" spans="1:2" s="102" customFormat="1" x14ac:dyDescent="0.2">
      <c r="A42" s="1">
        <v>41</v>
      </c>
      <c r="B42" s="12" t="s">
        <v>168</v>
      </c>
    </row>
    <row r="43" spans="1:2" s="102" customFormat="1" x14ac:dyDescent="0.2">
      <c r="A43" s="1">
        <v>42</v>
      </c>
      <c r="B43" s="12" t="s">
        <v>169</v>
      </c>
    </row>
    <row r="44" spans="1:2" s="102" customFormat="1" x14ac:dyDescent="0.2">
      <c r="A44" s="1">
        <v>43</v>
      </c>
      <c r="B44" s="12" t="s">
        <v>170</v>
      </c>
    </row>
    <row r="45" spans="1:2" s="102" customFormat="1" x14ac:dyDescent="0.2">
      <c r="A45" s="1">
        <v>44</v>
      </c>
      <c r="B45" s="12" t="s">
        <v>171</v>
      </c>
    </row>
    <row r="46" spans="1:2" s="102" customFormat="1" x14ac:dyDescent="0.2">
      <c r="A46" s="1">
        <v>45</v>
      </c>
      <c r="B46" s="12" t="s">
        <v>172</v>
      </c>
    </row>
    <row r="47" spans="1:2" s="102" customFormat="1" x14ac:dyDescent="0.2">
      <c r="A47" s="1">
        <v>46</v>
      </c>
      <c r="B47" s="12" t="s">
        <v>173</v>
      </c>
    </row>
    <row r="48" spans="1:2" s="102" customFormat="1" x14ac:dyDescent="0.2">
      <c r="A48" s="1">
        <v>47</v>
      </c>
      <c r="B48" s="12" t="s">
        <v>174</v>
      </c>
    </row>
    <row r="49" spans="1:2" s="102" customFormat="1" x14ac:dyDescent="0.2">
      <c r="A49" s="1">
        <v>48</v>
      </c>
      <c r="B49" s="12" t="s">
        <v>175</v>
      </c>
    </row>
    <row r="50" spans="1:2" s="102" customFormat="1" x14ac:dyDescent="0.2">
      <c r="A50" s="1">
        <v>49</v>
      </c>
      <c r="B50" s="12" t="s">
        <v>176</v>
      </c>
    </row>
    <row r="51" spans="1:2" s="102" customFormat="1" x14ac:dyDescent="0.2">
      <c r="A51" s="1">
        <v>50</v>
      </c>
      <c r="B51" s="12" t="s">
        <v>177</v>
      </c>
    </row>
    <row r="52" spans="1:2" s="102" customFormat="1" x14ac:dyDescent="0.2">
      <c r="A52" s="1">
        <v>51</v>
      </c>
      <c r="B52" s="12" t="s">
        <v>178</v>
      </c>
    </row>
    <row r="53" spans="1:2" s="102" customFormat="1" x14ac:dyDescent="0.2">
      <c r="A53" s="1">
        <v>52</v>
      </c>
      <c r="B53" s="12" t="s">
        <v>179</v>
      </c>
    </row>
    <row r="54" spans="1:2" s="102" customFormat="1" x14ac:dyDescent="0.2">
      <c r="A54" s="1">
        <v>53</v>
      </c>
      <c r="B54" s="12" t="s">
        <v>180</v>
      </c>
    </row>
    <row r="55" spans="1:2" s="102" customFormat="1" x14ac:dyDescent="0.2">
      <c r="A55" s="1">
        <v>54</v>
      </c>
      <c r="B55" s="12" t="s">
        <v>181</v>
      </c>
    </row>
    <row r="56" spans="1:2" s="102" customFormat="1" x14ac:dyDescent="0.2">
      <c r="A56" s="1">
        <v>55</v>
      </c>
      <c r="B56" s="12" t="s">
        <v>182</v>
      </c>
    </row>
    <row r="57" spans="1:2" s="102" customFormat="1" x14ac:dyDescent="0.2">
      <c r="A57" s="1">
        <v>56</v>
      </c>
      <c r="B57" s="12" t="s">
        <v>183</v>
      </c>
    </row>
    <row r="58" spans="1:2" s="102" customFormat="1" x14ac:dyDescent="0.2">
      <c r="A58" s="1">
        <v>57</v>
      </c>
      <c r="B58" s="12" t="s">
        <v>184</v>
      </c>
    </row>
    <row r="59" spans="1:2" s="102" customFormat="1" x14ac:dyDescent="0.2">
      <c r="A59" s="1">
        <v>58</v>
      </c>
      <c r="B59" s="12" t="s">
        <v>185</v>
      </c>
    </row>
    <row r="60" spans="1:2" s="102" customFormat="1" x14ac:dyDescent="0.2">
      <c r="A60" s="1">
        <v>59</v>
      </c>
      <c r="B60" s="12" t="s">
        <v>186</v>
      </c>
    </row>
    <row r="61" spans="1:2" s="102" customFormat="1" x14ac:dyDescent="0.2">
      <c r="A61" s="1">
        <v>60</v>
      </c>
      <c r="B61" s="12" t="s">
        <v>187</v>
      </c>
    </row>
    <row r="62" spans="1:2" s="102" customFormat="1" x14ac:dyDescent="0.2">
      <c r="A62" s="1">
        <v>61</v>
      </c>
      <c r="B62" s="12" t="s">
        <v>188</v>
      </c>
    </row>
    <row r="63" spans="1:2" s="102" customFormat="1" x14ac:dyDescent="0.2">
      <c r="A63" s="1">
        <v>62</v>
      </c>
      <c r="B63" s="12" t="s">
        <v>189</v>
      </c>
    </row>
    <row r="64" spans="1:2" s="102" customFormat="1" x14ac:dyDescent="0.2">
      <c r="A64" s="1">
        <v>63</v>
      </c>
      <c r="B64" s="12" t="s">
        <v>190</v>
      </c>
    </row>
    <row r="65" spans="1:2" s="102" customFormat="1" x14ac:dyDescent="0.2">
      <c r="A65" s="1">
        <v>64</v>
      </c>
      <c r="B65" s="12" t="s">
        <v>191</v>
      </c>
    </row>
    <row r="66" spans="1:2" s="102" customFormat="1" x14ac:dyDescent="0.2">
      <c r="A66" s="1">
        <v>65</v>
      </c>
      <c r="B66" s="12" t="s">
        <v>192</v>
      </c>
    </row>
    <row r="67" spans="1:2" s="102" customFormat="1" x14ac:dyDescent="0.2">
      <c r="A67" s="1">
        <v>66</v>
      </c>
      <c r="B67" s="12" t="s">
        <v>193</v>
      </c>
    </row>
    <row r="68" spans="1:2" s="102" customFormat="1" x14ac:dyDescent="0.2">
      <c r="A68" s="1">
        <v>67</v>
      </c>
      <c r="B68" s="12" t="s">
        <v>194</v>
      </c>
    </row>
    <row r="69" spans="1:2" s="102" customFormat="1" x14ac:dyDescent="0.2">
      <c r="A69" s="1">
        <v>68</v>
      </c>
      <c r="B69" s="12" t="s">
        <v>195</v>
      </c>
    </row>
    <row r="70" spans="1:2" s="102" customFormat="1" x14ac:dyDescent="0.2">
      <c r="A70" s="1">
        <v>69</v>
      </c>
      <c r="B70" s="12" t="s">
        <v>196</v>
      </c>
    </row>
    <row r="71" spans="1:2" s="102" customFormat="1" x14ac:dyDescent="0.2">
      <c r="A71" s="1">
        <v>70</v>
      </c>
      <c r="B71" s="12" t="s">
        <v>197</v>
      </c>
    </row>
    <row r="72" spans="1:2" s="102" customFormat="1" x14ac:dyDescent="0.2">
      <c r="A72" s="1">
        <v>71</v>
      </c>
      <c r="B72" s="12" t="s">
        <v>198</v>
      </c>
    </row>
    <row r="73" spans="1:2" s="102" customFormat="1" x14ac:dyDescent="0.2">
      <c r="A73" s="1">
        <v>72</v>
      </c>
      <c r="B73" s="12" t="s">
        <v>199</v>
      </c>
    </row>
    <row r="74" spans="1:2" s="102" customFormat="1" x14ac:dyDescent="0.2">
      <c r="A74" s="1">
        <v>73</v>
      </c>
      <c r="B74" s="12" t="s">
        <v>200</v>
      </c>
    </row>
    <row r="75" spans="1:2" s="102" customFormat="1" x14ac:dyDescent="0.2">
      <c r="A75" s="1">
        <v>74</v>
      </c>
      <c r="B75" s="12" t="s">
        <v>201</v>
      </c>
    </row>
    <row r="76" spans="1:2" s="102" customFormat="1" x14ac:dyDescent="0.2">
      <c r="A76" s="1">
        <v>75</v>
      </c>
      <c r="B76" s="12" t="s">
        <v>202</v>
      </c>
    </row>
    <row r="77" spans="1:2" s="102" customFormat="1" x14ac:dyDescent="0.2">
      <c r="A77" s="1">
        <v>76</v>
      </c>
      <c r="B77" s="12" t="s">
        <v>203</v>
      </c>
    </row>
    <row r="78" spans="1:2" s="102" customFormat="1" x14ac:dyDescent="0.2">
      <c r="A78" s="1">
        <v>77</v>
      </c>
      <c r="B78" s="12" t="s">
        <v>204</v>
      </c>
    </row>
    <row r="79" spans="1:2" s="102" customFormat="1" x14ac:dyDescent="0.2">
      <c r="A79" s="1">
        <v>78</v>
      </c>
      <c r="B79" s="12" t="s">
        <v>205</v>
      </c>
    </row>
    <row r="80" spans="1:2" s="102" customFormat="1" x14ac:dyDescent="0.2">
      <c r="A80" s="1">
        <v>79</v>
      </c>
      <c r="B80" s="12" t="s">
        <v>206</v>
      </c>
    </row>
    <row r="81" spans="1:2" s="102" customFormat="1" x14ac:dyDescent="0.2">
      <c r="A81" s="1">
        <v>80</v>
      </c>
      <c r="B81" s="12" t="s">
        <v>207</v>
      </c>
    </row>
    <row r="82" spans="1:2" s="102" customFormat="1" x14ac:dyDescent="0.2">
      <c r="A82" s="1">
        <v>81</v>
      </c>
      <c r="B82" s="12" t="s">
        <v>208</v>
      </c>
    </row>
    <row r="83" spans="1:2" s="102" customFormat="1" x14ac:dyDescent="0.2">
      <c r="A83" s="1">
        <v>82</v>
      </c>
      <c r="B83" s="12" t="s">
        <v>209</v>
      </c>
    </row>
    <row r="84" spans="1:2" s="102" customFormat="1" x14ac:dyDescent="0.2">
      <c r="A84" s="1">
        <v>83</v>
      </c>
      <c r="B84" s="12" t="s">
        <v>210</v>
      </c>
    </row>
    <row r="85" spans="1:2" s="102" customFormat="1" x14ac:dyDescent="0.2">
      <c r="A85" s="1">
        <v>84</v>
      </c>
      <c r="B85" s="12" t="s">
        <v>211</v>
      </c>
    </row>
    <row r="86" spans="1:2" s="102" customFormat="1" x14ac:dyDescent="0.2">
      <c r="A86" s="1">
        <v>85</v>
      </c>
      <c r="B86" s="12" t="s">
        <v>212</v>
      </c>
    </row>
    <row r="87" spans="1:2" s="102" customFormat="1" x14ac:dyDescent="0.2">
      <c r="A87" s="1">
        <v>86</v>
      </c>
      <c r="B87" s="12" t="s">
        <v>213</v>
      </c>
    </row>
    <row r="88" spans="1:2" s="102" customFormat="1" x14ac:dyDescent="0.2">
      <c r="A88" s="1">
        <v>87</v>
      </c>
      <c r="B88" s="12" t="s">
        <v>214</v>
      </c>
    </row>
    <row r="89" spans="1:2" s="102" customFormat="1" x14ac:dyDescent="0.2">
      <c r="A89" s="1">
        <v>88</v>
      </c>
      <c r="B89" s="12" t="s">
        <v>215</v>
      </c>
    </row>
    <row r="90" spans="1:2" s="102" customFormat="1" x14ac:dyDescent="0.2">
      <c r="A90" s="1">
        <v>89</v>
      </c>
      <c r="B90" s="12" t="s">
        <v>216</v>
      </c>
    </row>
    <row r="91" spans="1:2" s="102" customFormat="1" x14ac:dyDescent="0.2">
      <c r="A91" s="1">
        <v>90</v>
      </c>
      <c r="B91" s="12" t="s">
        <v>217</v>
      </c>
    </row>
    <row r="92" spans="1:2" s="102" customFormat="1" x14ac:dyDescent="0.2">
      <c r="A92" s="1">
        <v>91</v>
      </c>
      <c r="B92" s="12" t="s">
        <v>218</v>
      </c>
    </row>
    <row r="93" spans="1:2" s="102" customFormat="1" x14ac:dyDescent="0.2">
      <c r="A93" s="1">
        <v>92</v>
      </c>
      <c r="B93" s="12" t="s">
        <v>219</v>
      </c>
    </row>
    <row r="94" spans="1:2" s="102" customFormat="1" x14ac:dyDescent="0.2">
      <c r="A94" s="1">
        <v>93</v>
      </c>
      <c r="B94" s="12" t="s">
        <v>220</v>
      </c>
    </row>
    <row r="95" spans="1:2" s="102" customFormat="1" x14ac:dyDescent="0.2">
      <c r="A95" s="1">
        <v>94</v>
      </c>
      <c r="B95" s="12" t="s">
        <v>221</v>
      </c>
    </row>
    <row r="96" spans="1:2" s="102" customFormat="1" x14ac:dyDescent="0.2">
      <c r="A96" s="1">
        <v>95</v>
      </c>
      <c r="B96" s="12" t="s">
        <v>222</v>
      </c>
    </row>
    <row r="97" spans="1:2" s="102" customFormat="1" x14ac:dyDescent="0.2">
      <c r="A97" s="1">
        <v>96</v>
      </c>
      <c r="B97" s="12" t="s">
        <v>223</v>
      </c>
    </row>
    <row r="98" spans="1:2" s="102" customFormat="1" x14ac:dyDescent="0.2">
      <c r="A98" s="1">
        <v>97</v>
      </c>
      <c r="B98" s="12" t="s">
        <v>224</v>
      </c>
    </row>
    <row r="99" spans="1:2" s="102" customFormat="1" x14ac:dyDescent="0.2">
      <c r="A99" s="1">
        <v>98</v>
      </c>
      <c r="B99" s="12" t="s">
        <v>225</v>
      </c>
    </row>
    <row r="100" spans="1:2" s="102" customFormat="1" x14ac:dyDescent="0.2">
      <c r="A100" s="1">
        <v>99</v>
      </c>
      <c r="B100" s="12" t="s">
        <v>226</v>
      </c>
    </row>
    <row r="101" spans="1:2" s="102" customFormat="1" x14ac:dyDescent="0.2">
      <c r="A101" s="1">
        <v>100</v>
      </c>
      <c r="B101" s="12" t="s">
        <v>227</v>
      </c>
    </row>
    <row r="102" spans="1:2" s="102" customFormat="1" x14ac:dyDescent="0.2">
      <c r="A102" s="1">
        <v>101</v>
      </c>
      <c r="B102" s="12" t="s">
        <v>228</v>
      </c>
    </row>
    <row r="103" spans="1:2" s="102" customFormat="1" x14ac:dyDescent="0.2">
      <c r="A103" s="1">
        <v>102</v>
      </c>
      <c r="B103" s="12" t="s">
        <v>229</v>
      </c>
    </row>
    <row r="104" spans="1:2" s="102" customFormat="1" x14ac:dyDescent="0.2">
      <c r="A104" s="1">
        <v>103</v>
      </c>
      <c r="B104" s="12" t="s">
        <v>230</v>
      </c>
    </row>
    <row r="105" spans="1:2" s="102" customFormat="1" x14ac:dyDescent="0.2">
      <c r="A105" s="1">
        <v>104</v>
      </c>
      <c r="B105" s="12" t="s">
        <v>231</v>
      </c>
    </row>
    <row r="106" spans="1:2" s="102" customFormat="1" x14ac:dyDescent="0.2">
      <c r="A106" s="1">
        <v>105</v>
      </c>
      <c r="B106" s="12" t="s">
        <v>232</v>
      </c>
    </row>
    <row r="107" spans="1:2" s="102" customFormat="1" x14ac:dyDescent="0.2">
      <c r="A107" s="1">
        <v>106</v>
      </c>
      <c r="B107" s="12" t="s">
        <v>233</v>
      </c>
    </row>
    <row r="108" spans="1:2" s="102" customFormat="1" x14ac:dyDescent="0.2">
      <c r="A108" s="1">
        <v>107</v>
      </c>
      <c r="B108" s="12" t="s">
        <v>234</v>
      </c>
    </row>
    <row r="109" spans="1:2" s="102" customFormat="1" x14ac:dyDescent="0.2">
      <c r="A109" s="1">
        <v>108</v>
      </c>
      <c r="B109" s="12" t="s">
        <v>235</v>
      </c>
    </row>
    <row r="110" spans="1:2" s="102" customFormat="1" x14ac:dyDescent="0.2">
      <c r="A110" s="1">
        <v>109</v>
      </c>
      <c r="B110" s="12" t="s">
        <v>236</v>
      </c>
    </row>
    <row r="111" spans="1:2" s="102" customFormat="1" x14ac:dyDescent="0.2">
      <c r="A111" s="1">
        <v>110</v>
      </c>
      <c r="B111" s="12" t="s">
        <v>237</v>
      </c>
    </row>
    <row r="112" spans="1:2" s="102" customFormat="1" x14ac:dyDescent="0.2">
      <c r="A112" s="1">
        <v>111</v>
      </c>
      <c r="B112" s="12" t="s">
        <v>238</v>
      </c>
    </row>
    <row r="113" spans="1:2" s="102" customFormat="1" x14ac:dyDescent="0.2">
      <c r="A113" s="1">
        <v>112</v>
      </c>
      <c r="B113" s="12" t="s">
        <v>239</v>
      </c>
    </row>
    <row r="114" spans="1:2" s="102" customFormat="1" x14ac:dyDescent="0.2">
      <c r="A114" s="1">
        <v>113</v>
      </c>
      <c r="B114" s="12" t="s">
        <v>240</v>
      </c>
    </row>
    <row r="115" spans="1:2" s="102" customFormat="1" x14ac:dyDescent="0.2">
      <c r="A115" s="1">
        <v>114</v>
      </c>
      <c r="B115" s="12" t="s">
        <v>241</v>
      </c>
    </row>
    <row r="116" spans="1:2" s="102" customFormat="1" x14ac:dyDescent="0.2">
      <c r="A116" s="1">
        <v>115</v>
      </c>
      <c r="B116" s="12" t="s">
        <v>242</v>
      </c>
    </row>
    <row r="117" spans="1:2" s="102" customFormat="1" x14ac:dyDescent="0.2">
      <c r="A117" s="1">
        <v>116</v>
      </c>
      <c r="B117" s="12" t="s">
        <v>243</v>
      </c>
    </row>
    <row r="118" spans="1:2" s="102" customFormat="1" x14ac:dyDescent="0.2">
      <c r="A118" s="1">
        <v>117</v>
      </c>
      <c r="B118" s="12" t="s">
        <v>244</v>
      </c>
    </row>
    <row r="119" spans="1:2" s="102" customFormat="1" x14ac:dyDescent="0.2">
      <c r="A119" s="1">
        <v>118</v>
      </c>
      <c r="B119" s="12" t="s">
        <v>245</v>
      </c>
    </row>
    <row r="120" spans="1:2" s="102" customFormat="1" x14ac:dyDescent="0.2">
      <c r="A120" s="1">
        <v>119</v>
      </c>
      <c r="B120" s="12" t="s">
        <v>246</v>
      </c>
    </row>
    <row r="121" spans="1:2" s="102" customFormat="1" x14ac:dyDescent="0.2">
      <c r="A121" s="1">
        <v>120</v>
      </c>
      <c r="B121" s="12" t="s">
        <v>247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5E43-B296-43E4-BD08-27C8EEAD26D2}">
  <dimension ref="A1:B121"/>
  <sheetViews>
    <sheetView workbookViewId="0">
      <selection activeCell="H22" sqref="H22"/>
    </sheetView>
  </sheetViews>
  <sheetFormatPr defaultRowHeight="15" x14ac:dyDescent="0.25"/>
  <cols>
    <col min="2" max="2" width="44.5703125" bestFit="1" customWidth="1"/>
  </cols>
  <sheetData>
    <row r="1" spans="1:2" ht="17.25" x14ac:dyDescent="0.3">
      <c r="A1" s="20" t="s">
        <v>382</v>
      </c>
      <c r="B1" s="34" t="s">
        <v>383</v>
      </c>
    </row>
    <row r="2" spans="1:2" x14ac:dyDescent="0.25">
      <c r="A2" s="1">
        <v>1</v>
      </c>
      <c r="B2" s="12" t="s">
        <v>9</v>
      </c>
    </row>
    <row r="3" spans="1:2" x14ac:dyDescent="0.25">
      <c r="A3" s="1">
        <v>2</v>
      </c>
      <c r="B3" s="12" t="s">
        <v>10</v>
      </c>
    </row>
    <row r="4" spans="1:2" x14ac:dyDescent="0.25">
      <c r="A4" s="1">
        <v>3</v>
      </c>
      <c r="B4" s="10" t="s">
        <v>11</v>
      </c>
    </row>
    <row r="5" spans="1:2" x14ac:dyDescent="0.25">
      <c r="A5" s="1">
        <v>4</v>
      </c>
      <c r="B5" s="12" t="s">
        <v>12</v>
      </c>
    </row>
    <row r="6" spans="1:2" x14ac:dyDescent="0.25">
      <c r="A6" s="1">
        <v>5</v>
      </c>
      <c r="B6" s="12" t="s">
        <v>13</v>
      </c>
    </row>
    <row r="7" spans="1:2" x14ac:dyDescent="0.25">
      <c r="A7" s="1">
        <v>6</v>
      </c>
      <c r="B7" s="12" t="s">
        <v>14</v>
      </c>
    </row>
    <row r="8" spans="1:2" x14ac:dyDescent="0.25">
      <c r="A8" s="1">
        <v>7</v>
      </c>
      <c r="B8" s="12" t="s">
        <v>15</v>
      </c>
    </row>
    <row r="9" spans="1:2" x14ac:dyDescent="0.25">
      <c r="A9" s="1">
        <v>8</v>
      </c>
      <c r="B9" s="12" t="s">
        <v>16</v>
      </c>
    </row>
    <row r="10" spans="1:2" x14ac:dyDescent="0.25">
      <c r="A10" s="1">
        <v>9</v>
      </c>
      <c r="B10" s="12" t="s">
        <v>17</v>
      </c>
    </row>
    <row r="11" spans="1:2" x14ac:dyDescent="0.25">
      <c r="A11" s="1">
        <v>10</v>
      </c>
      <c r="B11" s="12" t="s">
        <v>18</v>
      </c>
    </row>
    <row r="12" spans="1:2" x14ac:dyDescent="0.25">
      <c r="A12" s="1">
        <v>11</v>
      </c>
      <c r="B12" s="12" t="s">
        <v>19</v>
      </c>
    </row>
    <row r="13" spans="1:2" x14ac:dyDescent="0.25">
      <c r="A13" s="1">
        <v>12</v>
      </c>
      <c r="B13" s="12" t="s">
        <v>20</v>
      </c>
    </row>
    <row r="14" spans="1:2" x14ac:dyDescent="0.25">
      <c r="A14" s="1">
        <v>13</v>
      </c>
      <c r="B14" s="12" t="s">
        <v>21</v>
      </c>
    </row>
    <row r="15" spans="1:2" x14ac:dyDescent="0.25">
      <c r="A15" s="1">
        <v>14</v>
      </c>
      <c r="B15" s="12" t="s">
        <v>22</v>
      </c>
    </row>
    <row r="16" spans="1:2" x14ac:dyDescent="0.25">
      <c r="A16" s="1">
        <v>15</v>
      </c>
      <c r="B16" s="12" t="s">
        <v>23</v>
      </c>
    </row>
    <row r="17" spans="1:2" x14ac:dyDescent="0.25">
      <c r="A17" s="1">
        <v>16</v>
      </c>
      <c r="B17" s="12" t="s">
        <v>24</v>
      </c>
    </row>
    <row r="18" spans="1:2" x14ac:dyDescent="0.25">
      <c r="A18" s="1">
        <v>17</v>
      </c>
      <c r="B18" s="12" t="s">
        <v>25</v>
      </c>
    </row>
    <row r="19" spans="1:2" x14ac:dyDescent="0.25">
      <c r="A19" s="1">
        <v>18</v>
      </c>
      <c r="B19" s="12" t="s">
        <v>26</v>
      </c>
    </row>
    <row r="20" spans="1:2" x14ac:dyDescent="0.25">
      <c r="A20" s="1">
        <v>19</v>
      </c>
      <c r="B20" s="12" t="s">
        <v>27</v>
      </c>
    </row>
    <row r="21" spans="1:2" x14ac:dyDescent="0.25">
      <c r="A21" s="1">
        <v>20</v>
      </c>
      <c r="B21" s="12" t="s">
        <v>28</v>
      </c>
    </row>
    <row r="22" spans="1:2" x14ac:dyDescent="0.25">
      <c r="A22" s="1">
        <v>21</v>
      </c>
      <c r="B22" s="12" t="s">
        <v>29</v>
      </c>
    </row>
    <row r="23" spans="1:2" s="4" customFormat="1" x14ac:dyDescent="0.25">
      <c r="A23" s="1">
        <v>22</v>
      </c>
      <c r="B23" s="12" t="s">
        <v>30</v>
      </c>
    </row>
    <row r="24" spans="1:2" x14ac:dyDescent="0.25">
      <c r="A24" s="1">
        <v>23</v>
      </c>
      <c r="B24" s="12" t="s">
        <v>31</v>
      </c>
    </row>
    <row r="25" spans="1:2" x14ac:dyDescent="0.25">
      <c r="A25" s="1">
        <v>24</v>
      </c>
      <c r="B25" s="12" t="s">
        <v>32</v>
      </c>
    </row>
    <row r="26" spans="1:2" x14ac:dyDescent="0.25">
      <c r="A26" s="1">
        <v>25</v>
      </c>
      <c r="B26" s="12" t="s">
        <v>33</v>
      </c>
    </row>
    <row r="27" spans="1:2" x14ac:dyDescent="0.25">
      <c r="A27" s="1">
        <v>26</v>
      </c>
      <c r="B27" s="12" t="s">
        <v>34</v>
      </c>
    </row>
    <row r="28" spans="1:2" x14ac:dyDescent="0.25">
      <c r="A28" s="1">
        <v>27</v>
      </c>
      <c r="B28" s="12" t="s">
        <v>35</v>
      </c>
    </row>
    <row r="29" spans="1:2" x14ac:dyDescent="0.25">
      <c r="A29" s="1">
        <v>28</v>
      </c>
      <c r="B29" s="12" t="s">
        <v>36</v>
      </c>
    </row>
    <row r="30" spans="1:2" x14ac:dyDescent="0.25">
      <c r="A30" s="1">
        <v>29</v>
      </c>
      <c r="B30" s="12" t="s">
        <v>37</v>
      </c>
    </row>
    <row r="31" spans="1:2" x14ac:dyDescent="0.25">
      <c r="A31" s="1">
        <v>30</v>
      </c>
      <c r="B31" s="12" t="s">
        <v>38</v>
      </c>
    </row>
    <row r="32" spans="1:2" x14ac:dyDescent="0.25">
      <c r="A32" s="1">
        <v>31</v>
      </c>
      <c r="B32" s="14" t="s">
        <v>39</v>
      </c>
    </row>
    <row r="33" spans="1:2" x14ac:dyDescent="0.25">
      <c r="A33" s="1">
        <v>32</v>
      </c>
      <c r="B33" s="12" t="s">
        <v>40</v>
      </c>
    </row>
    <row r="34" spans="1:2" x14ac:dyDescent="0.25">
      <c r="A34" s="1">
        <v>33</v>
      </c>
      <c r="B34" s="12" t="s">
        <v>41</v>
      </c>
    </row>
    <row r="35" spans="1:2" x14ac:dyDescent="0.25">
      <c r="A35" s="1">
        <v>34</v>
      </c>
      <c r="B35" s="12" t="s">
        <v>42</v>
      </c>
    </row>
    <row r="36" spans="1:2" x14ac:dyDescent="0.25">
      <c r="A36" s="1">
        <v>35</v>
      </c>
      <c r="B36" s="12" t="s">
        <v>43</v>
      </c>
    </row>
    <row r="37" spans="1:2" x14ac:dyDescent="0.25">
      <c r="A37" s="1">
        <v>36</v>
      </c>
      <c r="B37" s="12" t="s">
        <v>44</v>
      </c>
    </row>
    <row r="38" spans="1:2" x14ac:dyDescent="0.25">
      <c r="A38" s="1">
        <v>37</v>
      </c>
      <c r="B38" s="10" t="s">
        <v>45</v>
      </c>
    </row>
    <row r="39" spans="1:2" x14ac:dyDescent="0.25">
      <c r="A39" s="1">
        <v>38</v>
      </c>
      <c r="B39" s="12" t="s">
        <v>46</v>
      </c>
    </row>
    <row r="40" spans="1:2" x14ac:dyDescent="0.25">
      <c r="A40" s="1">
        <v>39</v>
      </c>
      <c r="B40" s="12" t="s">
        <v>47</v>
      </c>
    </row>
    <row r="41" spans="1:2" x14ac:dyDescent="0.25">
      <c r="A41" s="1">
        <v>40</v>
      </c>
      <c r="B41" s="12" t="s">
        <v>48</v>
      </c>
    </row>
    <row r="42" spans="1:2" x14ac:dyDescent="0.25">
      <c r="A42" s="1">
        <v>41</v>
      </c>
      <c r="B42" s="12" t="s">
        <v>49</v>
      </c>
    </row>
    <row r="43" spans="1:2" x14ac:dyDescent="0.25">
      <c r="A43" s="1">
        <v>42</v>
      </c>
      <c r="B43" s="12" t="s">
        <v>50</v>
      </c>
    </row>
    <row r="44" spans="1:2" x14ac:dyDescent="0.25">
      <c r="A44" s="1">
        <v>43</v>
      </c>
      <c r="B44" s="12" t="s">
        <v>51</v>
      </c>
    </row>
    <row r="45" spans="1:2" x14ac:dyDescent="0.25">
      <c r="A45" s="1">
        <v>44</v>
      </c>
      <c r="B45" s="10" t="s">
        <v>52</v>
      </c>
    </row>
    <row r="46" spans="1:2" x14ac:dyDescent="0.25">
      <c r="A46" s="1">
        <v>45</v>
      </c>
      <c r="B46" s="14" t="s">
        <v>53</v>
      </c>
    </row>
    <row r="47" spans="1:2" x14ac:dyDescent="0.25">
      <c r="A47" s="1">
        <v>46</v>
      </c>
      <c r="B47" s="12" t="s">
        <v>54</v>
      </c>
    </row>
    <row r="48" spans="1:2" x14ac:dyDescent="0.25">
      <c r="A48" s="1">
        <v>47</v>
      </c>
      <c r="B48" s="12" t="s">
        <v>55</v>
      </c>
    </row>
    <row r="49" spans="1:2" x14ac:dyDescent="0.25">
      <c r="A49" s="1">
        <v>48</v>
      </c>
      <c r="B49" s="12" t="s">
        <v>56</v>
      </c>
    </row>
    <row r="50" spans="1:2" x14ac:dyDescent="0.25">
      <c r="A50" s="1">
        <v>49</v>
      </c>
      <c r="B50" s="12" t="s">
        <v>57</v>
      </c>
    </row>
    <row r="51" spans="1:2" x14ac:dyDescent="0.25">
      <c r="A51" s="1">
        <v>50</v>
      </c>
      <c r="B51" s="12" t="s">
        <v>58</v>
      </c>
    </row>
    <row r="52" spans="1:2" x14ac:dyDescent="0.25">
      <c r="A52" s="1">
        <v>51</v>
      </c>
      <c r="B52" s="12" t="s">
        <v>59</v>
      </c>
    </row>
    <row r="53" spans="1:2" x14ac:dyDescent="0.25">
      <c r="A53" s="1">
        <v>52</v>
      </c>
      <c r="B53" s="12" t="s">
        <v>60</v>
      </c>
    </row>
    <row r="54" spans="1:2" x14ac:dyDescent="0.25">
      <c r="A54" s="1">
        <v>53</v>
      </c>
      <c r="B54" s="12" t="s">
        <v>61</v>
      </c>
    </row>
    <row r="55" spans="1:2" x14ac:dyDescent="0.25">
      <c r="A55" s="1">
        <v>54</v>
      </c>
      <c r="B55" s="12" t="s">
        <v>62</v>
      </c>
    </row>
    <row r="56" spans="1:2" x14ac:dyDescent="0.25">
      <c r="A56" s="1">
        <v>55</v>
      </c>
      <c r="B56" s="12" t="s">
        <v>63</v>
      </c>
    </row>
    <row r="57" spans="1:2" x14ac:dyDescent="0.25">
      <c r="A57" s="1">
        <v>56</v>
      </c>
      <c r="B57" s="12" t="s">
        <v>64</v>
      </c>
    </row>
    <row r="58" spans="1:2" x14ac:dyDescent="0.25">
      <c r="A58" s="1">
        <v>57</v>
      </c>
      <c r="B58" s="12" t="s">
        <v>65</v>
      </c>
    </row>
    <row r="59" spans="1:2" x14ac:dyDescent="0.25">
      <c r="A59" s="1">
        <v>58</v>
      </c>
      <c r="B59" s="12" t="s">
        <v>66</v>
      </c>
    </row>
    <row r="60" spans="1:2" x14ac:dyDescent="0.25">
      <c r="A60" s="1">
        <v>59</v>
      </c>
      <c r="B60" s="12" t="s">
        <v>67</v>
      </c>
    </row>
    <row r="61" spans="1:2" x14ac:dyDescent="0.25">
      <c r="A61" s="1">
        <v>60</v>
      </c>
      <c r="B61" s="12" t="s">
        <v>68</v>
      </c>
    </row>
    <row r="62" spans="1:2" x14ac:dyDescent="0.25">
      <c r="A62" s="1">
        <v>61</v>
      </c>
      <c r="B62" s="12" t="s">
        <v>69</v>
      </c>
    </row>
    <row r="63" spans="1:2" x14ac:dyDescent="0.25">
      <c r="A63" s="1">
        <v>62</v>
      </c>
      <c r="B63" s="12" t="s">
        <v>70</v>
      </c>
    </row>
    <row r="64" spans="1:2" x14ac:dyDescent="0.25">
      <c r="A64" s="1">
        <v>63</v>
      </c>
      <c r="B64" s="12" t="s">
        <v>71</v>
      </c>
    </row>
    <row r="65" spans="1:2" x14ac:dyDescent="0.25">
      <c r="A65" s="1">
        <v>64</v>
      </c>
      <c r="B65" s="12" t="s">
        <v>72</v>
      </c>
    </row>
    <row r="66" spans="1:2" x14ac:dyDescent="0.25">
      <c r="A66" s="1">
        <v>65</v>
      </c>
      <c r="B66" s="12" t="s">
        <v>73</v>
      </c>
    </row>
    <row r="67" spans="1:2" x14ac:dyDescent="0.25">
      <c r="A67" s="1">
        <v>66</v>
      </c>
      <c r="B67" s="12" t="s">
        <v>74</v>
      </c>
    </row>
    <row r="68" spans="1:2" x14ac:dyDescent="0.25">
      <c r="A68" s="1">
        <v>67</v>
      </c>
      <c r="B68" s="12" t="s">
        <v>75</v>
      </c>
    </row>
    <row r="69" spans="1:2" x14ac:dyDescent="0.25">
      <c r="A69" s="1">
        <v>68</v>
      </c>
      <c r="B69" s="12" t="s">
        <v>76</v>
      </c>
    </row>
    <row r="70" spans="1:2" x14ac:dyDescent="0.25">
      <c r="A70" s="1">
        <v>69</v>
      </c>
      <c r="B70" s="12" t="s">
        <v>77</v>
      </c>
    </row>
    <row r="71" spans="1:2" x14ac:dyDescent="0.25">
      <c r="A71" s="1">
        <v>70</v>
      </c>
      <c r="B71" s="12" t="s">
        <v>78</v>
      </c>
    </row>
    <row r="72" spans="1:2" x14ac:dyDescent="0.25">
      <c r="A72" s="1">
        <v>71</v>
      </c>
      <c r="B72" s="12" t="s">
        <v>79</v>
      </c>
    </row>
    <row r="73" spans="1:2" x14ac:dyDescent="0.25">
      <c r="A73" s="1">
        <v>72</v>
      </c>
      <c r="B73" s="12" t="s">
        <v>80</v>
      </c>
    </row>
    <row r="74" spans="1:2" x14ac:dyDescent="0.25">
      <c r="A74" s="1">
        <v>73</v>
      </c>
      <c r="B74" s="12" t="s">
        <v>81</v>
      </c>
    </row>
    <row r="75" spans="1:2" x14ac:dyDescent="0.25">
      <c r="A75" s="1">
        <v>74</v>
      </c>
      <c r="B75" s="12" t="s">
        <v>82</v>
      </c>
    </row>
    <row r="76" spans="1:2" x14ac:dyDescent="0.25">
      <c r="A76" s="1">
        <v>75</v>
      </c>
      <c r="B76" s="12" t="s">
        <v>83</v>
      </c>
    </row>
    <row r="77" spans="1:2" x14ac:dyDescent="0.25">
      <c r="A77" s="1">
        <v>76</v>
      </c>
      <c r="B77" s="12" t="s">
        <v>84</v>
      </c>
    </row>
    <row r="78" spans="1:2" x14ac:dyDescent="0.25">
      <c r="A78" s="1">
        <v>77</v>
      </c>
      <c r="B78" s="12" t="s">
        <v>85</v>
      </c>
    </row>
    <row r="79" spans="1:2" x14ac:dyDescent="0.25">
      <c r="A79" s="1">
        <v>78</v>
      </c>
      <c r="B79" s="12" t="s">
        <v>86</v>
      </c>
    </row>
    <row r="80" spans="1:2" x14ac:dyDescent="0.25">
      <c r="A80" s="1">
        <v>79</v>
      </c>
      <c r="B80" s="12" t="s">
        <v>87</v>
      </c>
    </row>
    <row r="81" spans="1:2" x14ac:dyDescent="0.25">
      <c r="A81" s="1">
        <v>80</v>
      </c>
      <c r="B81" s="12" t="s">
        <v>88</v>
      </c>
    </row>
    <row r="82" spans="1:2" x14ac:dyDescent="0.25">
      <c r="A82" s="1">
        <v>81</v>
      </c>
      <c r="B82" s="12" t="s">
        <v>89</v>
      </c>
    </row>
    <row r="83" spans="1:2" x14ac:dyDescent="0.25">
      <c r="A83" s="1">
        <v>82</v>
      </c>
      <c r="B83" s="12" t="s">
        <v>90</v>
      </c>
    </row>
    <row r="84" spans="1:2" x14ac:dyDescent="0.25">
      <c r="A84" s="1">
        <v>83</v>
      </c>
      <c r="B84" s="12" t="s">
        <v>91</v>
      </c>
    </row>
    <row r="85" spans="1:2" x14ac:dyDescent="0.25">
      <c r="A85" s="1">
        <v>84</v>
      </c>
      <c r="B85" s="12" t="s">
        <v>92</v>
      </c>
    </row>
    <row r="86" spans="1:2" x14ac:dyDescent="0.25">
      <c r="A86" s="1">
        <v>85</v>
      </c>
      <c r="B86" s="12" t="s">
        <v>93</v>
      </c>
    </row>
    <row r="87" spans="1:2" x14ac:dyDescent="0.25">
      <c r="A87" s="1">
        <v>86</v>
      </c>
      <c r="B87" s="12" t="s">
        <v>94</v>
      </c>
    </row>
    <row r="88" spans="1:2" x14ac:dyDescent="0.25">
      <c r="A88" s="1">
        <v>87</v>
      </c>
      <c r="B88" s="12" t="s">
        <v>95</v>
      </c>
    </row>
    <row r="89" spans="1:2" x14ac:dyDescent="0.25">
      <c r="A89" s="1">
        <v>88</v>
      </c>
      <c r="B89" s="12" t="s">
        <v>96</v>
      </c>
    </row>
    <row r="90" spans="1:2" x14ac:dyDescent="0.25">
      <c r="A90" s="1">
        <v>89</v>
      </c>
      <c r="B90" s="12" t="s">
        <v>97</v>
      </c>
    </row>
    <row r="91" spans="1:2" x14ac:dyDescent="0.25">
      <c r="A91" s="1">
        <v>90</v>
      </c>
      <c r="B91" s="12" t="s">
        <v>98</v>
      </c>
    </row>
    <row r="92" spans="1:2" x14ac:dyDescent="0.25">
      <c r="A92" s="1">
        <v>91</v>
      </c>
      <c r="B92" s="12" t="s">
        <v>99</v>
      </c>
    </row>
    <row r="93" spans="1:2" x14ac:dyDescent="0.25">
      <c r="A93" s="1">
        <v>92</v>
      </c>
      <c r="B93" s="12" t="s">
        <v>100</v>
      </c>
    </row>
    <row r="94" spans="1:2" x14ac:dyDescent="0.25">
      <c r="A94" s="1">
        <v>93</v>
      </c>
      <c r="B94" s="12" t="s">
        <v>101</v>
      </c>
    </row>
    <row r="95" spans="1:2" x14ac:dyDescent="0.25">
      <c r="A95" s="1">
        <v>94</v>
      </c>
      <c r="B95" s="12" t="s">
        <v>102</v>
      </c>
    </row>
    <row r="96" spans="1:2" x14ac:dyDescent="0.25">
      <c r="A96" s="1">
        <v>95</v>
      </c>
      <c r="B96" s="12" t="s">
        <v>103</v>
      </c>
    </row>
    <row r="97" spans="1:2" x14ac:dyDescent="0.25">
      <c r="A97" s="1">
        <v>96</v>
      </c>
      <c r="B97" s="12" t="s">
        <v>104</v>
      </c>
    </row>
    <row r="98" spans="1:2" x14ac:dyDescent="0.25">
      <c r="A98" s="1">
        <v>97</v>
      </c>
      <c r="B98" s="12" t="s">
        <v>105</v>
      </c>
    </row>
    <row r="99" spans="1:2" x14ac:dyDescent="0.25">
      <c r="A99" s="1">
        <v>98</v>
      </c>
      <c r="B99" s="12" t="s">
        <v>106</v>
      </c>
    </row>
    <row r="100" spans="1:2" x14ac:dyDescent="0.25">
      <c r="A100" s="1">
        <v>99</v>
      </c>
      <c r="B100" s="12" t="s">
        <v>107</v>
      </c>
    </row>
    <row r="101" spans="1:2" x14ac:dyDescent="0.25">
      <c r="A101" s="1">
        <v>100</v>
      </c>
      <c r="B101" s="12" t="s">
        <v>108</v>
      </c>
    </row>
    <row r="102" spans="1:2" x14ac:dyDescent="0.25">
      <c r="A102" s="1">
        <v>101</v>
      </c>
      <c r="B102" s="12" t="s">
        <v>109</v>
      </c>
    </row>
    <row r="103" spans="1:2" x14ac:dyDescent="0.25">
      <c r="A103" s="1">
        <v>102</v>
      </c>
      <c r="B103" s="12" t="s">
        <v>110</v>
      </c>
    </row>
    <row r="104" spans="1:2" x14ac:dyDescent="0.25">
      <c r="A104" s="1">
        <v>103</v>
      </c>
      <c r="B104" s="12" t="s">
        <v>111</v>
      </c>
    </row>
    <row r="105" spans="1:2" x14ac:dyDescent="0.25">
      <c r="A105" s="1">
        <v>104</v>
      </c>
      <c r="B105" s="12" t="s">
        <v>112</v>
      </c>
    </row>
    <row r="106" spans="1:2" x14ac:dyDescent="0.25">
      <c r="A106" s="1">
        <v>105</v>
      </c>
      <c r="B106" s="12" t="s">
        <v>113</v>
      </c>
    </row>
    <row r="107" spans="1:2" x14ac:dyDescent="0.25">
      <c r="A107" s="1">
        <v>106</v>
      </c>
      <c r="B107" s="12" t="s">
        <v>114</v>
      </c>
    </row>
    <row r="108" spans="1:2" x14ac:dyDescent="0.25">
      <c r="A108" s="1">
        <v>107</v>
      </c>
      <c r="B108" s="12" t="s">
        <v>115</v>
      </c>
    </row>
    <row r="109" spans="1:2" x14ac:dyDescent="0.25">
      <c r="A109" s="1">
        <v>108</v>
      </c>
      <c r="B109" s="12" t="s">
        <v>116</v>
      </c>
    </row>
    <row r="110" spans="1:2" x14ac:dyDescent="0.25">
      <c r="A110" s="1">
        <v>109</v>
      </c>
      <c r="B110" s="12" t="s">
        <v>117</v>
      </c>
    </row>
    <row r="111" spans="1:2" x14ac:dyDescent="0.25">
      <c r="A111" s="1">
        <v>110</v>
      </c>
      <c r="B111" s="12" t="s">
        <v>118</v>
      </c>
    </row>
    <row r="112" spans="1:2" x14ac:dyDescent="0.25">
      <c r="A112" s="1">
        <v>111</v>
      </c>
      <c r="B112" s="12" t="s">
        <v>119</v>
      </c>
    </row>
    <row r="113" spans="1:2" x14ac:dyDescent="0.25">
      <c r="A113" s="1">
        <v>112</v>
      </c>
      <c r="B113" s="12" t="s">
        <v>120</v>
      </c>
    </row>
    <row r="114" spans="1:2" x14ac:dyDescent="0.25">
      <c r="A114" s="1">
        <v>113</v>
      </c>
      <c r="B114" s="8" t="s">
        <v>121</v>
      </c>
    </row>
    <row r="115" spans="1:2" x14ac:dyDescent="0.25">
      <c r="A115" s="1">
        <v>114</v>
      </c>
      <c r="B115" s="8" t="s">
        <v>122</v>
      </c>
    </row>
    <row r="116" spans="1:2" x14ac:dyDescent="0.25">
      <c r="A116" s="1">
        <v>115</v>
      </c>
      <c r="B116" s="8" t="s">
        <v>123</v>
      </c>
    </row>
    <row r="117" spans="1:2" x14ac:dyDescent="0.25">
      <c r="A117" s="1">
        <v>116</v>
      </c>
      <c r="B117" s="8" t="s">
        <v>124</v>
      </c>
    </row>
    <row r="118" spans="1:2" x14ac:dyDescent="0.25">
      <c r="A118" s="1">
        <v>117</v>
      </c>
      <c r="B118" s="15" t="s">
        <v>125</v>
      </c>
    </row>
    <row r="119" spans="1:2" x14ac:dyDescent="0.25">
      <c r="A119" s="1">
        <v>118</v>
      </c>
      <c r="B119" s="9" t="s">
        <v>126</v>
      </c>
    </row>
    <row r="120" spans="1:2" ht="15.75" x14ac:dyDescent="0.25">
      <c r="A120" s="1">
        <v>119</v>
      </c>
      <c r="B120" s="16" t="s">
        <v>127</v>
      </c>
    </row>
    <row r="121" spans="1:2" ht="19.5" x14ac:dyDescent="0.55000000000000004">
      <c r="A121" s="1">
        <v>120</v>
      </c>
      <c r="B121" s="17" t="s">
        <v>253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DIV_A</vt:lpstr>
      <vt:lpstr>DIV_B</vt:lpstr>
      <vt:lpstr>FAIL</vt:lpstr>
      <vt:lpstr>DIV_A_All</vt:lpstr>
      <vt:lpstr>Sheet2</vt:lpstr>
      <vt:lpstr>DIV_B_ALL</vt:lpstr>
      <vt:lpstr>72</vt:lpstr>
      <vt:lpstr>sp</vt:lpstr>
      <vt:lpstr>SP_UPDATE</vt:lpstr>
      <vt:lpstr>NAME A </vt:lpstr>
      <vt:lpstr>NAME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Vishwanath Kale</cp:lastModifiedBy>
  <cp:lastPrinted>2025-04-15T09:19:28Z</cp:lastPrinted>
  <dcterms:created xsi:type="dcterms:W3CDTF">2015-06-05T18:17:20Z</dcterms:created>
  <dcterms:modified xsi:type="dcterms:W3CDTF">2025-11-18T07:08:45Z</dcterms:modified>
</cp:coreProperties>
</file>